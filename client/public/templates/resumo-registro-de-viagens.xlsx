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o\Downloads\"/>
    </mc:Choice>
  </mc:AlternateContent>
  <xr:revisionPtr revIDLastSave="0" documentId="13_ncr:1_{B285185F-A191-4BE3-B809-DB14F4C92C03}" xr6:coauthVersionLast="47" xr6:coauthVersionMax="47" xr10:uidLastSave="{00000000-0000-0000-0000-000000000000}"/>
  <bookViews>
    <workbookView xWindow="-120" yWindow="-120" windowWidth="29040" windowHeight="15720" tabRatio="764" xr2:uid="{FCFC59D2-41E1-436A-8F0E-348B72C026CE}"/>
  </bookViews>
  <sheets>
    <sheet name="FAT MENSAL CLIENTE 2025" sheetId="2" r:id="rId1"/>
    <sheet name="FAT MENSAL LEB 2025" sheetId="3" r:id="rId2"/>
    <sheet name="FAT MENSAL-ANUAL" sheetId="1" r:id="rId3"/>
    <sheet name="FAT MENSAL CLIENTE 2026" sheetId="6" r:id="rId4"/>
    <sheet name="FAT MENSAL LEB 2026" sheetId="7" r:id="rId5"/>
    <sheet name="rascunho estrutura 2" sheetId="5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G31" i="1"/>
  <c r="K31" i="1"/>
  <c r="L31" i="1"/>
  <c r="M31" i="1"/>
  <c r="N31" i="1"/>
  <c r="C32" i="1"/>
  <c r="D32" i="1"/>
  <c r="E32" i="1"/>
  <c r="F32" i="1"/>
  <c r="G32" i="1"/>
  <c r="G36" i="1" s="1"/>
  <c r="H32" i="1"/>
  <c r="H36" i="1" s="1"/>
  <c r="I32" i="1"/>
  <c r="I36" i="1" s="1"/>
  <c r="J32" i="1"/>
  <c r="K32" i="1"/>
  <c r="L32" i="1"/>
  <c r="M32" i="1"/>
  <c r="N32" i="1"/>
  <c r="C33" i="1"/>
  <c r="D33" i="1"/>
  <c r="E33" i="1"/>
  <c r="F33" i="1"/>
  <c r="G33" i="1"/>
  <c r="H33" i="1"/>
  <c r="I33" i="1"/>
  <c r="J33" i="1"/>
  <c r="K33" i="1"/>
  <c r="L33" i="1"/>
  <c r="M33" i="1"/>
  <c r="N33" i="1"/>
  <c r="C34" i="1"/>
  <c r="D34" i="1"/>
  <c r="E34" i="1"/>
  <c r="F34" i="1"/>
  <c r="G34" i="1"/>
  <c r="H34" i="1"/>
  <c r="I34" i="1"/>
  <c r="J34" i="1"/>
  <c r="K34" i="1"/>
  <c r="L34" i="1"/>
  <c r="M34" i="1"/>
  <c r="N34" i="1"/>
  <c r="C35" i="1"/>
  <c r="D35" i="1"/>
  <c r="E35" i="1"/>
  <c r="F35" i="1"/>
  <c r="G35" i="1"/>
  <c r="H35" i="1"/>
  <c r="I35" i="1"/>
  <c r="J35" i="1"/>
  <c r="K35" i="1"/>
  <c r="L35" i="1"/>
  <c r="M35" i="1"/>
  <c r="N35" i="1"/>
  <c r="J36" i="1"/>
  <c r="K36" i="1"/>
  <c r="L36" i="1"/>
  <c r="M36" i="1"/>
  <c r="N36" i="1"/>
  <c r="H57" i="6"/>
  <c r="O53" i="6"/>
  <c r="O54" i="6"/>
  <c r="O55" i="6"/>
  <c r="O56" i="6"/>
  <c r="O52" i="6"/>
  <c r="O63" i="6"/>
  <c r="O64" i="6"/>
  <c r="O65" i="6"/>
  <c r="O66" i="6"/>
  <c r="O62" i="6"/>
  <c r="C67" i="6"/>
  <c r="D67" i="6"/>
  <c r="E67" i="6"/>
  <c r="F67" i="6"/>
  <c r="G67" i="6"/>
  <c r="H67" i="6"/>
  <c r="I67" i="6"/>
  <c r="J67" i="6"/>
  <c r="K67" i="6"/>
  <c r="L67" i="6"/>
  <c r="M67" i="6"/>
  <c r="N67" i="6"/>
  <c r="O57" i="7"/>
  <c r="N57" i="7"/>
  <c r="M57" i="7"/>
  <c r="L57" i="7"/>
  <c r="K57" i="7"/>
  <c r="J57" i="7"/>
  <c r="I57" i="7"/>
  <c r="H57" i="7"/>
  <c r="G57" i="7"/>
  <c r="F57" i="7"/>
  <c r="E57" i="7"/>
  <c r="D57" i="7"/>
  <c r="O47" i="7"/>
  <c r="N47" i="7"/>
  <c r="M47" i="7"/>
  <c r="L47" i="7"/>
  <c r="K47" i="7"/>
  <c r="J47" i="7"/>
  <c r="I47" i="7"/>
  <c r="H47" i="7"/>
  <c r="G47" i="7"/>
  <c r="F47" i="7"/>
  <c r="E47" i="7"/>
  <c r="D47" i="7"/>
  <c r="N57" i="6"/>
  <c r="M57" i="6"/>
  <c r="L57" i="6"/>
  <c r="K57" i="6"/>
  <c r="J57" i="6"/>
  <c r="I57" i="6"/>
  <c r="G57" i="6"/>
  <c r="F57" i="6"/>
  <c r="E57" i="6"/>
  <c r="D57" i="6"/>
  <c r="C57" i="6"/>
  <c r="O33" i="1" l="1"/>
  <c r="O32" i="1"/>
  <c r="O35" i="1"/>
  <c r="D36" i="1"/>
  <c r="F36" i="1"/>
  <c r="E36" i="1"/>
  <c r="O31" i="1"/>
  <c r="O34" i="1"/>
  <c r="C36" i="1"/>
  <c r="O36" i="1"/>
  <c r="O67" i="6"/>
  <c r="O57" i="6"/>
  <c r="I47" i="3"/>
  <c r="I57" i="3"/>
  <c r="I57" i="2"/>
  <c r="I67" i="2"/>
  <c r="I26" i="1"/>
  <c r="I23" i="1"/>
  <c r="I24" i="1"/>
  <c r="I25" i="1"/>
  <c r="I22" i="1"/>
  <c r="J24" i="1"/>
  <c r="K24" i="1"/>
  <c r="L24" i="1"/>
  <c r="M24" i="1"/>
  <c r="N24" i="1"/>
  <c r="J25" i="1"/>
  <c r="K25" i="1"/>
  <c r="L25" i="1"/>
  <c r="M25" i="1"/>
  <c r="N25" i="1"/>
  <c r="J26" i="1"/>
  <c r="J27" i="1" s="1"/>
  <c r="K26" i="1"/>
  <c r="L26" i="1"/>
  <c r="M26" i="1"/>
  <c r="N26" i="1"/>
  <c r="J23" i="1"/>
  <c r="K23" i="1"/>
  <c r="L23" i="1"/>
  <c r="M23" i="1"/>
  <c r="N23" i="1"/>
  <c r="J22" i="1"/>
  <c r="K22" i="1"/>
  <c r="L22" i="1"/>
  <c r="M22" i="1"/>
  <c r="N22" i="1"/>
  <c r="H23" i="1"/>
  <c r="H24" i="1"/>
  <c r="H25" i="1"/>
  <c r="H26" i="1"/>
  <c r="H22" i="1"/>
  <c r="G23" i="1"/>
  <c r="G24" i="1"/>
  <c r="G25" i="1"/>
  <c r="G26" i="1"/>
  <c r="G22" i="1"/>
  <c r="D67" i="2"/>
  <c r="E67" i="2"/>
  <c r="F67" i="2"/>
  <c r="G67" i="2"/>
  <c r="G27" i="1"/>
  <c r="H67" i="2"/>
  <c r="J67" i="2"/>
  <c r="K67" i="2"/>
  <c r="L67" i="2"/>
  <c r="M67" i="2"/>
  <c r="N67" i="2"/>
  <c r="O67" i="2"/>
  <c r="D57" i="2"/>
  <c r="E57" i="2"/>
  <c r="F57" i="2"/>
  <c r="G57" i="2"/>
  <c r="H57" i="2"/>
  <c r="J57" i="2"/>
  <c r="K57" i="2"/>
  <c r="L57" i="2"/>
  <c r="M57" i="2"/>
  <c r="N57" i="2"/>
  <c r="O57" i="2"/>
  <c r="C57" i="2"/>
  <c r="F26" i="1"/>
  <c r="F23" i="1"/>
  <c r="F24" i="1"/>
  <c r="F25" i="1"/>
  <c r="F22" i="1"/>
  <c r="F27" i="1" s="1"/>
  <c r="D47" i="3"/>
  <c r="E47" i="3"/>
  <c r="F47" i="3"/>
  <c r="G47" i="3"/>
  <c r="H47" i="3"/>
  <c r="J47" i="3"/>
  <c r="K47" i="3"/>
  <c r="L47" i="3"/>
  <c r="M47" i="3"/>
  <c r="N47" i="3"/>
  <c r="O47" i="3"/>
  <c r="C47" i="3"/>
  <c r="D57" i="3"/>
  <c r="E57" i="3"/>
  <c r="F57" i="3"/>
  <c r="G57" i="3"/>
  <c r="H57" i="3"/>
  <c r="J57" i="3"/>
  <c r="K57" i="3"/>
  <c r="L57" i="3"/>
  <c r="M57" i="3"/>
  <c r="N57" i="3"/>
  <c r="O57" i="3"/>
  <c r="C57" i="3"/>
  <c r="D27" i="1"/>
  <c r="E27" i="1"/>
  <c r="C27" i="1"/>
  <c r="D9" i="1"/>
  <c r="E9" i="1"/>
  <c r="F9" i="1"/>
  <c r="G9" i="1"/>
  <c r="H9" i="1"/>
  <c r="I9" i="1"/>
  <c r="J9" i="1"/>
  <c r="K9" i="1"/>
  <c r="L9" i="1"/>
  <c r="M9" i="1"/>
  <c r="N9" i="1"/>
  <c r="C9" i="1"/>
  <c r="E18" i="1"/>
  <c r="D18" i="1"/>
  <c r="F18" i="1"/>
  <c r="G18" i="1"/>
  <c r="H18" i="1"/>
  <c r="I18" i="1"/>
  <c r="J18" i="1"/>
  <c r="K18" i="1"/>
  <c r="L18" i="1"/>
  <c r="M18" i="1"/>
  <c r="N18" i="1"/>
  <c r="C18" i="1"/>
  <c r="O18" i="1"/>
  <c r="O15" i="1"/>
  <c r="O14" i="1"/>
  <c r="O16" i="1"/>
  <c r="O13" i="1"/>
  <c r="O17" i="1"/>
  <c r="O5" i="1"/>
  <c r="O4" i="1"/>
  <c r="O3" i="1"/>
  <c r="O6" i="1"/>
  <c r="O7" i="1"/>
  <c r="O8" i="1"/>
  <c r="O9" i="1"/>
  <c r="H27" i="1" l="1"/>
  <c r="I27" i="1"/>
  <c r="N27" i="1"/>
  <c r="M27" i="1"/>
  <c r="O25" i="1"/>
  <c r="O24" i="1"/>
  <c r="O22" i="1"/>
  <c r="O23" i="1"/>
  <c r="O26" i="1"/>
  <c r="L27" i="1"/>
  <c r="K27" i="1"/>
  <c r="C57" i="7" l="1"/>
  <c r="C47" i="7"/>
  <c r="O27" i="1"/>
  <c r="C67" i="2" l="1"/>
</calcChain>
</file>

<file path=xl/sharedStrings.xml><?xml version="1.0" encoding="utf-8"?>
<sst xmlns="http://schemas.openxmlformats.org/spreadsheetml/2006/main" count="278" uniqueCount="33">
  <si>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</si>
  <si>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</si>
  <si>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</si>
  <si>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</si>
  <si>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</si>
  <si>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</si>
  <si>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</si>
  <si>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</si>
  <si>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</si>
  <si>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</si>
  <si>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</si>
  <si>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</si>
  <si>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PLACAS</t>
  </si>
  <si>
    <t>RRQ3D35</t>
  </si>
  <si>
    <t>RAT8F79</t>
  </si>
  <si>
    <t>RAQ5F96</t>
  </si>
  <si>
    <t>RAU3I63</t>
  </si>
  <si>
    <t>RAQ3J90</t>
  </si>
  <si>
    <t>RAX6E36</t>
  </si>
  <si>
    <t>-</t>
  </si>
  <si>
    <t>TOTAL ANUAL</t>
  </si>
  <si>
    <t xml:space="preserve">TOTAL ANUAL </t>
  </si>
  <si>
    <t>TOTAL MENSAL</t>
  </si>
  <si>
    <t xml:space="preserve">TOTAL MENSAL </t>
  </si>
  <si>
    <t xml:space="preserve">1 A 15 DO MÊS </t>
  </si>
  <si>
    <t xml:space="preserve">16 A 30 DO MÊS </t>
  </si>
  <si>
    <t>TOTAL 15°</t>
  </si>
  <si>
    <t>TOTAL QUINZENA</t>
  </si>
  <si>
    <t>1ª</t>
  </si>
  <si>
    <t>2ª</t>
  </si>
  <si>
    <t>TOTAL</t>
  </si>
  <si>
    <t>LEBRINHA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</si>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</sst>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22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5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1" fillId="2" borderId="0" xfId="1" applyAlignment="1">
      <alignment horizontal="center"/>
    </xf>
    <xf numFmtId="44" fontId="1" fillId="2" borderId="0" xfId="1" applyNumberFormat="1" applyAlignment="1">
      <alignment horizontal="center"/>
    </xf>
    <xf numFmtId="1" fontId="3" fillId="2" borderId="0" xfId="1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44" fontId="1" fillId="2" borderId="0" xfId="1" applyNumberFormat="1"/>
    <xf numFmtId="44" fontId="4" fillId="3" borderId="1" xfId="0" applyNumberFormat="1" applyFont="1" applyFill="1" applyBorder="1" applyAlignment="1">
      <alignment horizontal="center"/>
    </xf>
    <xf numFmtId="44" fontId="0" fillId="0" borderId="0" xfId="0" applyNumberFormat="1"/>
    <xf numFmtId="0" fontId="0" fillId="4" borderId="1" xfId="0" applyFill="1" applyBorder="1" applyAlignment="1">
      <alignment horizontal="center"/>
    </xf>
    <xf numFmtId="164" fontId="0" fillId="0" borderId="0" xfId="2" applyNumberFormat="1" applyFont="1"/>
    <xf numFmtId="164" fontId="0" fillId="0" borderId="0" xfId="0" applyNumberFormat="1"/>
    <xf numFmtId="44" fontId="0" fillId="0" borderId="0" xfId="2" applyFont="1" applyAlignment="1">
      <alignment horizontal="center"/>
    </xf>
    <xf numFmtId="44" fontId="0" fillId="0" borderId="2" xfId="2" applyFont="1" applyFill="1" applyBorder="1"/>
    <xf numFmtId="0" fontId="0" fillId="0" borderId="2" xfId="0" applyBorder="1"/>
    <xf numFmtId="44" fontId="5" fillId="0" borderId="2" xfId="2" applyFont="1" applyFill="1" applyBorder="1"/>
    <xf numFmtId="44" fontId="5" fillId="0" borderId="4" xfId="2" applyFont="1" applyFill="1" applyBorder="1"/>
    <xf numFmtId="44" fontId="5" fillId="0" borderId="5" xfId="2" applyFont="1" applyFill="1" applyBorder="1"/>
    <xf numFmtId="44" fontId="5" fillId="0" borderId="6" xfId="2" applyFont="1" applyFill="1" applyBorder="1"/>
    <xf numFmtId="44" fontId="5" fillId="0" borderId="7" xfId="2" applyFont="1" applyFill="1" applyBorder="1"/>
    <xf numFmtId="44" fontId="5" fillId="0" borderId="8" xfId="2" applyFont="1" applyFill="1" applyBorder="1"/>
    <xf numFmtId="44" fontId="0" fillId="0" borderId="4" xfId="2" applyFont="1" applyFill="1" applyBorder="1"/>
    <xf numFmtId="44" fontId="0" fillId="0" borderId="5" xfId="2" applyFont="1" applyFill="1" applyBorder="1"/>
    <xf numFmtId="44" fontId="0" fillId="0" borderId="6" xfId="2" applyFont="1" applyFill="1" applyBorder="1"/>
    <xf numFmtId="44" fontId="0" fillId="0" borderId="7" xfId="2" applyFont="1" applyFill="1" applyBorder="1"/>
    <xf numFmtId="44" fontId="0" fillId="0" borderId="8" xfId="2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5" fillId="0" borderId="12" xfId="2" applyFont="1" applyFill="1" applyBorder="1"/>
    <xf numFmtId="44" fontId="5" fillId="0" borderId="13" xfId="2" applyFont="1" applyFill="1" applyBorder="1"/>
    <xf numFmtId="44" fontId="5" fillId="0" borderId="14" xfId="2" applyFont="1" applyFill="1" applyBorder="1"/>
    <xf numFmtId="44" fontId="0" fillId="0" borderId="12" xfId="2" applyFont="1" applyFill="1" applyBorder="1"/>
    <xf numFmtId="44" fontId="0" fillId="0" borderId="13" xfId="2" applyFont="1" applyFill="1" applyBorder="1"/>
    <xf numFmtId="44" fontId="0" fillId="0" borderId="14" xfId="2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8" fillId="0" borderId="3" xfId="0" applyFont="1" applyBorder="1" applyAlignment="1">
      <alignment horizontal="center" vertical="center"/>
    </xf>
    <xf numFmtId="44" fontId="0" fillId="0" borderId="0" xfId="2" applyFont="1"/>
    <xf numFmtId="44" fontId="0" fillId="0" borderId="0" xfId="2" applyNumberFormat="1" applyFont="1"/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</cellXfs>
  <cellStyles count="3">
    <cellStyle name="Bom" xfId="1" builtinId="26"/>
    <cellStyle name="Moeda" xfId="2" builtinId="4"/>
    <cellStyle name="Normal" xfId="0" builtinId="0"/>
  </cellStyles>
  <dxfs count="211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D1926D-5039-4F5C-B2DC-E453A07C6F56}" name="Tabela5" displayName="Tabela5" ref="B51:O57" totalsRowShown="0" headerRowDxfId="210" headerRowBorderDxfId="209">
  <autoFilter ref="B51:O57" xr:uid="{79D1926D-5039-4F5C-B2DC-E453A07C6F56}"/>
  <tableColumns count="14">
    <tableColumn id="1" xr3:uid="{5471B059-AA8D-4FD5-B822-C851E82EDEB7}" name="PLACAS" dataDxfId="208"/>
    <tableColumn id="2" xr3:uid="{40D3D16E-D8F8-4C95-98B0-C971395A7AD6}" name="JAN" dataDxfId="207" dataCellStyle="Moeda">
      <calculatedColumnFormula>SUM(C48:C51)</calculatedColumnFormula>
    </tableColumn>
    <tableColumn id="3" xr3:uid="{D357F2A7-F12A-489E-B359-E6156009A3BC}" name="FEV" dataDxfId="206" dataCellStyle="Moeda"/>
    <tableColumn id="4" xr3:uid="{6FE8B392-4930-430E-8FBA-A26AE0F11040}" name="MAR" dataDxfId="205" dataCellStyle="Moeda"/>
    <tableColumn id="5" xr3:uid="{DBE001AA-35A7-44F4-8EB5-F293C85F4E74}" name="ABR" dataDxfId="204" dataCellStyle="Moeda"/>
    <tableColumn id="6" xr3:uid="{9BE6FFF9-0A2C-4B4A-95FA-1767AB4E586D}" name="MAI" dataDxfId="203" dataCellStyle="Moeda"/>
    <tableColumn id="7" xr3:uid="{DAD234FB-047E-46EE-B58A-4ED2CC3E58D1}" name="JUN" dataDxfId="202" dataCellStyle="Moeda"/>
    <tableColumn id="8" xr3:uid="{AC0BF9EC-5441-47CC-ACE0-18C463899DDC}" name="JUL" dataDxfId="201" dataCellStyle="Moeda"/>
    <tableColumn id="9" xr3:uid="{2897A344-E5FA-4359-A1F3-131D3993C3D2}" name="AGO" dataDxfId="200" dataCellStyle="Moeda"/>
    <tableColumn id="10" xr3:uid="{30F059DC-8505-4E93-958C-F5E1BA3187C0}" name="SET" dataDxfId="199" dataCellStyle="Moeda"/>
    <tableColumn id="11" xr3:uid="{1EBFA10E-20BF-4ECF-85D6-37700E7F1CCE}" name="OUT" dataDxfId="198" dataCellStyle="Moeda"/>
    <tableColumn id="12" xr3:uid="{B1A6A7E9-DCDE-4667-8D5E-C2AAD5A322B9}" name="NOV" dataDxfId="197" dataCellStyle="Moeda"/>
    <tableColumn id="13" xr3:uid="{FE689938-8F19-4E21-99C5-0DB0B2A92D29}" name="DEZ" dataDxfId="196" dataCellStyle="Moeda"/>
    <tableColumn id="14" xr3:uid="{4225F5B4-AD94-41B0-B520-4911193A56E3}" name="TOTAL ANUAL" dataDxfId="195" dataCellStyle="Mo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8A9C31-E83F-4A01-899E-F66A03FE3E96}" name="Tabela58" displayName="Tabela58" ref="B61:O67" totalsRowShown="0" headerRowDxfId="194" headerRowBorderDxfId="193">
  <autoFilter ref="B61:O67" xr:uid="{EE8A9C31-E83F-4A01-899E-F66A03FE3E96}"/>
  <tableColumns count="14">
    <tableColumn id="1" xr3:uid="{616B1925-E917-4F77-BA5F-29205D0957EF}" name="PLACAS" dataDxfId="192"/>
    <tableColumn id="2" xr3:uid="{01CC59B8-BB01-49F6-AC65-401009083EB7}" name="JAN" dataDxfId="191" dataCellStyle="Moeda">
      <calculatedColumnFormula>SUM(C57:C61)</calculatedColumnFormula>
    </tableColumn>
    <tableColumn id="3" xr3:uid="{6B5C0721-6C93-4F67-BCE3-7EEEE7E4FAC7}" name="FEV" dataDxfId="190" dataCellStyle="Moeda"/>
    <tableColumn id="4" xr3:uid="{8CFED3EB-4075-46A6-BFFB-D823F6C516B5}" name="MAR" dataDxfId="189" dataCellStyle="Moeda"/>
    <tableColumn id="5" xr3:uid="{2E744CE4-AF8A-41AC-A8CC-01F87F00C318}" name="ABR" dataDxfId="188" dataCellStyle="Moeda"/>
    <tableColumn id="6" xr3:uid="{566E6543-865B-4EAE-84DF-C73445BF613A}" name="MAI" dataDxfId="187" dataCellStyle="Moeda"/>
    <tableColumn id="7" xr3:uid="{84F08D7D-EF67-4B29-9E94-AEA0FDA6D19E}" name="JUN" dataDxfId="186" dataCellStyle="Moeda"/>
    <tableColumn id="8" xr3:uid="{0A7AAF26-65BA-4180-B846-8BC3290A2FB1}" name="JUL" dataDxfId="185" dataCellStyle="Moeda"/>
    <tableColumn id="9" xr3:uid="{8896E6A1-4A50-4590-970E-06FCCBEDEBF7}" name="AGO" dataDxfId="184" dataCellStyle="Moeda"/>
    <tableColumn id="10" xr3:uid="{5AC51FBC-7D4A-4643-987E-55B42ADB7048}" name="SET" dataDxfId="183" dataCellStyle="Moeda"/>
    <tableColumn id="11" xr3:uid="{55699852-FB4E-473E-A406-43FC627B88FF}" name="OUT" dataDxfId="182" dataCellStyle="Moeda"/>
    <tableColumn id="12" xr3:uid="{1D6C09E0-1CD3-48C5-8CF9-85300CCCFD25}" name="NOV" dataDxfId="181" dataCellStyle="Moeda"/>
    <tableColumn id="13" xr3:uid="{985FE3F1-8C01-4D11-A188-5D2B27B089D5}" name="DEZ" dataDxfId="180" dataCellStyle="Moeda"/>
    <tableColumn id="14" xr3:uid="{720FCF71-DDF7-43FC-B28E-623C272FB3A7}" name="TOTAL ANUAL" dataDxfId="179" dataCellStyle="Moed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C6DB26-2803-4DE1-B8B3-F9890386837D}" name="Tabela57" displayName="Tabela57" ref="B41:O47" totalsRowShown="0" headerRowDxfId="178" headerRowBorderDxfId="177">
  <autoFilter ref="B41:O47" xr:uid="{22C6DB26-2803-4DE1-B8B3-F9890386837D}"/>
  <tableColumns count="14">
    <tableColumn id="1" xr3:uid="{92492436-72C4-4E9D-A2E4-F0C2D59B98C9}" name="PLACAS" dataDxfId="176"/>
    <tableColumn id="2" xr3:uid="{9D750F0C-43BB-4DE3-BF2D-952484D25846}" name="JAN" dataDxfId="175" dataCellStyle="Moeda">
      <calculatedColumnFormula>SUM(C38:C41)</calculatedColumnFormula>
    </tableColumn>
    <tableColumn id="3" xr3:uid="{CA5350CA-A1B1-4FF0-9AB4-4A18F328563D}" name="FEV" dataDxfId="174" dataCellStyle="Moeda"/>
    <tableColumn id="4" xr3:uid="{CB90098F-47F4-44D2-BB1F-3A99BCA607D7}" name="MAR" dataDxfId="173" dataCellStyle="Moeda"/>
    <tableColumn id="5" xr3:uid="{DD66A269-DFA6-4E6E-A698-C3FF0882E568}" name="ABR" dataDxfId="172" dataCellStyle="Moeda"/>
    <tableColumn id="6" xr3:uid="{854652D9-7971-43EA-AF8E-DBE2A1F776D8}" name="MAI" dataDxfId="171" dataCellStyle="Moeda"/>
    <tableColumn id="7" xr3:uid="{D7E043FC-E155-4BF3-8AC6-502264C2EFD3}" name="JUN" dataDxfId="170" dataCellStyle="Moeda"/>
    <tableColumn id="8" xr3:uid="{5E02C578-4892-43F7-93A9-F08003883040}" name="JUL" dataDxfId="169" dataCellStyle="Moeda"/>
    <tableColumn id="9" xr3:uid="{6B96A413-7196-4DA1-A715-6067610F21BA}" name="AGO" dataDxfId="168" dataCellStyle="Moeda"/>
    <tableColumn id="10" xr3:uid="{CD53C9EF-5903-4C80-8CC6-BAEC578C5426}" name="SET" dataDxfId="167" dataCellStyle="Moeda"/>
    <tableColumn id="11" xr3:uid="{9A3DF384-C738-4866-9D6B-4EA4F5A04696}" name="OUT" dataDxfId="166" dataCellStyle="Moeda"/>
    <tableColumn id="12" xr3:uid="{4E1A914F-D821-4F37-AC17-F390AAF26AEC}" name="NOV" dataDxfId="165" dataCellStyle="Moeda"/>
    <tableColumn id="13" xr3:uid="{8F6C1E79-D15A-4AB8-A705-BFF3A4228039}" name="DEZ" dataDxfId="164" dataCellStyle="Moeda"/>
    <tableColumn id="14" xr3:uid="{7117C3F2-9CE1-4AAE-9A57-2EC36B3BD5D1}" name="TOTAL ANUAL" dataDxfId="163" dataCellStyle="Moed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60716A-0187-4611-9D48-25AA9413E64E}" name="Tabela579" displayName="Tabela579" ref="B51:O57" totalsRowShown="0" headerRowDxfId="162" headerRowBorderDxfId="161">
  <autoFilter ref="B51:O57" xr:uid="{B760716A-0187-4611-9D48-25AA9413E64E}"/>
  <tableColumns count="14">
    <tableColumn id="1" xr3:uid="{829953BC-2A0E-4675-838F-C4B158580B50}" name="PLACAS" dataDxfId="160"/>
    <tableColumn id="2" xr3:uid="{C5F7050E-9471-493B-A707-98CAD7BA9FA2}" name="JAN" dataDxfId="159" dataCellStyle="Moeda">
      <calculatedColumnFormula>SUM(C48:C51)</calculatedColumnFormula>
    </tableColumn>
    <tableColumn id="3" xr3:uid="{154893F0-4EF3-4C53-A0D2-7F99CD5E6639}" name="FEV" dataDxfId="158" dataCellStyle="Moeda"/>
    <tableColumn id="4" xr3:uid="{ADA0EFE6-8837-4676-B3CA-924FE3169F43}" name="MAR" dataDxfId="157" dataCellStyle="Moeda"/>
    <tableColumn id="5" xr3:uid="{5EFC2138-2239-421E-9DB6-3C7E2CD452D0}" name="ABR" dataDxfId="156" dataCellStyle="Moeda"/>
    <tableColumn id="6" xr3:uid="{62008B03-0FA3-4FFD-9DD6-52B822B85A03}" name="MAI" dataDxfId="155" dataCellStyle="Moeda"/>
    <tableColumn id="7" xr3:uid="{B2D6ED9B-3A88-4355-9B09-48EA1932F52A}" name="JUN" dataDxfId="154" dataCellStyle="Moeda"/>
    <tableColumn id="8" xr3:uid="{BF9765BF-62C0-4CAF-94EE-28C04DD47B6E}" name="JUL" dataDxfId="153" dataCellStyle="Moeda"/>
    <tableColumn id="9" xr3:uid="{FB86C6CD-B816-4910-A6A4-CBA752D663AF}" name="AGO" dataDxfId="152" dataCellStyle="Moeda"/>
    <tableColumn id="10" xr3:uid="{EA8BE08C-DAD7-4ECC-85FC-7AB5A99287EF}" name="SET" dataDxfId="151" dataCellStyle="Moeda"/>
    <tableColumn id="11" xr3:uid="{32C91283-7956-4DE3-89B7-4E600EA1C639}" name="OUT" dataDxfId="150" dataCellStyle="Moeda"/>
    <tableColumn id="12" xr3:uid="{BCA5F553-F64A-44AC-AEF6-658CA53C626F}" name="NOV" dataDxfId="149" dataCellStyle="Moeda"/>
    <tableColumn id="13" xr3:uid="{216FF994-9395-4DF1-8B98-71DB7E9EC90B}" name="DEZ" dataDxfId="148" dataCellStyle="Moeda"/>
    <tableColumn id="14" xr3:uid="{54720E1D-7EDE-4005-9A7B-31E085C79A72}" name="TOTAL ANUAL" dataDxfId="147" dataCellStyle="Moed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B7F3F-0F06-4332-9D48-EEB4415F1331}" name="Tabela1" displayName="Tabela1" ref="C2:O9" totalsRowCount="1" headerRowDxfId="146" dataDxfId="145">
  <autoFilter ref="C2:O8" xr:uid="{723B7F3F-0F06-4332-9D48-EEB4415F1331}"/>
  <tableColumns count="13">
    <tableColumn id="1" xr3:uid="{D8E5F99D-CF02-4033-B6DC-EA01ED3AF314}" name="JAN" totalsRowFunction="custom" dataDxfId="144" totalsRowDxfId="143">
      <totalsRowFormula>SUM(Tabela1[JAN])</totalsRowFormula>
    </tableColumn>
    <tableColumn id="2" xr3:uid="{4446AE30-F941-4FB4-B0F1-4B54AE546D5F}" name="FEV" totalsRowFunction="custom" dataDxfId="142" totalsRowDxfId="141">
      <totalsRowFormula>SUM(Tabela1[FEV])</totalsRowFormula>
    </tableColumn>
    <tableColumn id="3" xr3:uid="{34EBE55A-F3B9-4BDF-B34F-FC0513D95BAE}" name="MAR" totalsRowFunction="custom" dataDxfId="140" totalsRowDxfId="139">
      <totalsRowFormula>SUM(Tabela1[MAR])</totalsRowFormula>
    </tableColumn>
    <tableColumn id="4" xr3:uid="{395FA035-44C8-45F8-8B63-07209EDC1D5A}" name="ABR" totalsRowFunction="custom" dataDxfId="138" totalsRowDxfId="137">
      <totalsRowFormula>SUM(Tabela1[ABR])</totalsRowFormula>
    </tableColumn>
    <tableColumn id="5" xr3:uid="{2D59734F-A18F-485D-AD7E-995F282FAA76}" name="MAI" totalsRowFunction="custom" dataDxfId="136" totalsRowDxfId="135">
      <totalsRowFormula>SUM(Tabela1[MAI])</totalsRowFormula>
    </tableColumn>
    <tableColumn id="6" xr3:uid="{EB2E999C-F396-454F-928C-EF3BF9E4D638}" name="JUN" totalsRowFunction="custom" dataDxfId="134" totalsRowDxfId="133">
      <totalsRowFormula>SUM(Tabela1[JUN])</totalsRowFormula>
    </tableColumn>
    <tableColumn id="7" xr3:uid="{29A7DE73-76DD-44FE-9FA2-61245F86503B}" name="JUL" totalsRowFunction="custom" dataDxfId="132" totalsRowDxfId="131">
      <totalsRowFormula>SUM(Tabela1[JUL])</totalsRowFormula>
    </tableColumn>
    <tableColumn id="8" xr3:uid="{125132A3-0A2E-45DE-B039-B22CF1B5055E}" name="AGO" totalsRowFunction="custom" dataDxfId="130" totalsRowDxfId="129">
      <totalsRowFormula>SUM(Tabela1[AGO])</totalsRowFormula>
    </tableColumn>
    <tableColumn id="9" xr3:uid="{B048BBEC-0B42-4068-9619-C6AEFBBA3A4D}" name="SET" totalsRowFunction="custom" dataDxfId="128" totalsRowDxfId="127">
      <totalsRowFormula>SUM(Tabela1[SET])</totalsRowFormula>
    </tableColumn>
    <tableColumn id="10" xr3:uid="{AF9CA45C-1F3C-4990-A8A6-098EFA10556F}" name="OUT" totalsRowFunction="custom" dataDxfId="126" totalsRowDxfId="125">
      <totalsRowFormula>SUM(Tabela1[OUT])</totalsRowFormula>
    </tableColumn>
    <tableColumn id="11" xr3:uid="{3B51841F-2D34-4C89-85FA-0659E910272A}" name="NOV" totalsRowFunction="custom" dataDxfId="124" totalsRowDxfId="123">
      <totalsRowFormula>SUM(Tabela1[NOV])</totalsRowFormula>
    </tableColumn>
    <tableColumn id="13" xr3:uid="{A4DCEF4A-B0F0-48B1-BA3B-C38BE86514CE}" name="DEZ" totalsRowFunction="custom" dataDxfId="122" totalsRowDxfId="121">
      <totalsRowFormula>SUM(Tabela1[DEZ])</totalsRowFormula>
    </tableColumn>
    <tableColumn id="12" xr3:uid="{B3C4338D-BB63-4071-8245-2B92C298B84A}" name="TOTAL ANUAL" totalsRowFunction="custom" dataDxfId="120" totalsRowDxfId="119">
      <calculatedColumnFormula>SUM(Tabela1[[#This Row],[JAN]:[SET]])</calculatedColumnFormula>
      <totalsRowFormula>SUM(Tabela1[TOTAL ANUAL])</totalsRowFormula>
    </tableColumn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9C6F8-A132-417A-B98E-16360F8EBA82}" name="Tabela2" displayName="Tabela2" ref="B2:B9" totalsRowShown="0" headerRowDxfId="118" dataDxfId="117">
  <autoFilter ref="B2:B9" xr:uid="{63E9C6F8-A132-417A-B98E-16360F8EBA82}"/>
  <sortState xmlns:xlrd2="http://schemas.microsoft.com/office/spreadsheetml/2017/richdata2" ref="B3:B8">
    <sortCondition ref="B2:B8"/>
  </sortState>
  <tableColumns count="1">
    <tableColumn id="1" xr3:uid="{735F6BFC-5F2B-4EC6-A99C-87CAE9255394}" name="PLACAS" dataDxfId="116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F66493-FBFD-4B3A-932A-76BFEB02AE11}" name="Tabela24" displayName="Tabela24" ref="B12:O18" totalsRowShown="0" headerRowDxfId="115" dataDxfId="114">
  <autoFilter ref="B12:O18" xr:uid="{8EF66493-FBFD-4B3A-932A-76BFEB02AE11}"/>
  <sortState xmlns:xlrd2="http://schemas.microsoft.com/office/spreadsheetml/2017/richdata2" ref="B13:O17">
    <sortCondition ref="B12:B17"/>
  </sortState>
  <tableColumns count="14">
    <tableColumn id="1" xr3:uid="{011CB158-B06A-4FBA-9623-EE99F35A10E5}" name="PLACAS" dataDxfId="113"/>
    <tableColumn id="3" xr3:uid="{0FAF3D27-A438-411F-8491-96A9EAD7ED7E}" name="JAN" dataDxfId="112"/>
    <tableColumn id="2" xr3:uid="{7CBC7948-AB5E-40BB-A431-C63676C2D4F2}" name="FEV" dataDxfId="111"/>
    <tableColumn id="4" xr3:uid="{2D67DFBE-3D37-4CAF-8127-85C8E885393F}" name="MAR" dataDxfId="110"/>
    <tableColumn id="5" xr3:uid="{9B0DF654-F149-49B1-86C6-542238DF4123}" name="ABR" dataDxfId="109"/>
    <tableColumn id="6" xr3:uid="{6AF46447-6540-4D1C-8657-D31881454556}" name="MAI" dataDxfId="108"/>
    <tableColumn id="7" xr3:uid="{637C37C0-B4BF-44C8-B70F-6D96570C6D27}" name="JUN" dataDxfId="107"/>
    <tableColumn id="8" xr3:uid="{D281CC2A-264D-4560-A060-34CF4AD02581}" name="JUL" dataDxfId="106"/>
    <tableColumn id="9" xr3:uid="{CD544DCC-A6F2-4A46-A0AF-807D028DE984}" name="AGO" dataDxfId="105"/>
    <tableColumn id="10" xr3:uid="{E127EF5C-8453-43E2-B424-78EB13588D5D}" name="SET" dataDxfId="104"/>
    <tableColumn id="11" xr3:uid="{A5C40B2C-B61E-41D7-80FB-C438358F0535}" name="OUT" dataDxfId="103"/>
    <tableColumn id="12" xr3:uid="{19E14365-B1EA-415D-B42D-9BDBF20ABBE7}" name="NOV" dataDxfId="102"/>
    <tableColumn id="13" xr3:uid="{6A0FD3CB-FC72-4AF5-BBC0-4B9ACE595388}" name="DEZ" dataDxfId="101"/>
    <tableColumn id="14" xr3:uid="{70075A23-7882-438E-AA21-F3A36E59F0CB}" name="TOTAL ANUAL " dataDxfId="100">
      <calculatedColumnFormula>SUM(Tabela24[[#This Row],[JAN]:[DEZ]])</calculatedColumnFormula>
    </tableColumn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B48581-A837-4238-AC1C-4A0B66242483}" name="Tabela4" displayName="Tabela4" ref="B21:O27" totalsRowShown="0" headerRowDxfId="99" dataDxfId="97" headerRowBorderDxfId="98" tableBorderDxfId="96">
  <autoFilter ref="B21:O27" xr:uid="{17B48581-A837-4238-AC1C-4A0B66242483}"/>
  <tableColumns count="14">
    <tableColumn id="1" xr3:uid="{375E5203-2710-41C9-B008-782C2BEB3AD7}" name="PLACAS" dataDxfId="95"/>
    <tableColumn id="2" xr3:uid="{959B46AE-2495-49D1-844B-0D0AF4A23E08}" name="JAN" dataDxfId="94"/>
    <tableColumn id="3" xr3:uid="{6EB68C69-DEF3-4800-AA08-5C3BBB2A65E3}" name="FEV" dataDxfId="93"/>
    <tableColumn id="4" xr3:uid="{69E417DF-BE7F-4D3F-9723-B7E6BE55DB35}" name="MAR" dataDxfId="92"/>
    <tableColumn id="5" xr3:uid="{5059C02D-AC6A-4959-BE47-ECF512D166C8}" name="ABR" dataDxfId="91"/>
    <tableColumn id="6" xr3:uid="{5119A6D8-ACB2-4758-991C-667FBC2E1CB5}" name="MAI" dataDxfId="90">
      <calculatedColumnFormula>SUM('FAT MENSAL CLIENTE 2025'!G62+'FAT MENSAL CLIENTE 2025'!G52+'FAT MENSAL LEB 2025'!G42+'FAT MENSAL LEB 2025'!G52)</calculatedColumnFormula>
    </tableColumn>
    <tableColumn id="7" xr3:uid="{57948381-2EE9-48B8-9EDC-639B2FFDBC16}" name="JUN" dataDxfId="89"/>
    <tableColumn id="8" xr3:uid="{5646C677-C427-4CEE-A25B-8B1A02229FFA}" name="JUL" dataDxfId="88">
      <calculatedColumnFormula>SUM('FAT MENSAL CLIENTE 2025'!I52+'FAT MENSAL CLIENTE 2025'!I62+'FAT MENSAL LEB 2025'!I42+'FAT MENSAL LEB 2025'!I52)</calculatedColumnFormula>
    </tableColumn>
    <tableColumn id="9" xr3:uid="{1DDDC3E6-8468-4BE6-992C-8928BD4CA906}" name="AGO" dataDxfId="87"/>
    <tableColumn id="10" xr3:uid="{2AC69353-EFDD-4AC2-B320-3FD37EB315C4}" name="SET" dataDxfId="86"/>
    <tableColumn id="11" xr3:uid="{1124AFC9-89BA-4BB4-8662-74D1444B945C}" name="OUT" dataDxfId="85"/>
    <tableColumn id="12" xr3:uid="{1C0CABC3-C3A2-420D-BBA5-D7A20A031B9B}" name="NOV" dataDxfId="84"/>
    <tableColumn id="13" xr3:uid="{36B3C057-451A-41B8-B43E-54F317164BA1}" name="DEZ" dataDxfId="83"/>
    <tableColumn id="14" xr3:uid="{F7FB28AF-0913-4453-A3B3-A102572ED2E5}" name="TOTAL ANUAL" dataDxfId="82">
      <calculatedColumnFormula>SUM(Tabela4[[#This Row],[JAN]:[DEZ]])</calculatedColumnFormula>
    </tableColumn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B44D53-70F2-43E9-B10B-E8F9179B2ABE}" name="Tabela410" displayName="Tabela410" ref="B30:O36" totalsRowShown="0" headerRowDxfId="81" dataDxfId="79" headerRowBorderDxfId="80" tableBorderDxfId="78">
  <autoFilter ref="B30:O36" xr:uid="{7EB44D53-70F2-43E9-B10B-E8F9179B2ABE}"/>
  <tableColumns count="14">
    <tableColumn id="1" xr3:uid="{B3DB98BE-CB44-42F2-A732-7EE451553A3A}" name="PLACAS" dataDxfId="77"/>
    <tableColumn id="2" xr3:uid="{9E909FE3-9E9F-49C7-9290-BA88B9F5956E}" name="JAN" dataDxfId="76" dataCellStyle="Moeda">
      <calculatedColumnFormula>C30+C29</calculatedColumnFormula>
    </tableColumn>
    <tableColumn id="3" xr3:uid="{02A757D3-ADC0-4E08-86A9-46C3334A9FAE}" name="FEV" dataDxfId="75"/>
    <tableColumn id="4" xr3:uid="{9CA95E0E-46E9-4F8C-8A0E-748AF939E6E1}" name="MAR" dataDxfId="74"/>
    <tableColumn id="5" xr3:uid="{B4D84F7A-1A74-43EB-B7BB-DCF724860841}" name="ABR" dataDxfId="73"/>
    <tableColumn id="6" xr3:uid="{D70EA4E5-F299-4BB4-8F0A-2576AE1F1247}" name="MAI" dataDxfId="72"/>
    <tableColumn id="7" xr3:uid="{01C9A99F-8D33-4121-9319-78A829B1FF0C}" name="JUN" dataDxfId="71"/>
    <tableColumn id="8" xr3:uid="{EE05695B-C957-494A-837C-BB028CB69A8E}" name="JUL" dataDxfId="70"/>
    <tableColumn id="9" xr3:uid="{AE2B727F-3127-4776-B718-9F66216B154E}" name="AGO" dataDxfId="69"/>
    <tableColumn id="10" xr3:uid="{D479AD68-E556-4738-8DC5-71D2AA7AAC47}" name="SET" dataDxfId="68"/>
    <tableColumn id="11" xr3:uid="{414F1B02-1C63-497C-A8D6-FC19A946A9A6}" name="OUT" dataDxfId="67"/>
    <tableColumn id="12" xr3:uid="{9024F39F-15E5-477F-851D-C6A3B7B18B63}" name="NOV" dataDxfId="66"/>
    <tableColumn id="13" xr3:uid="{2713C153-BCE9-4BD4-B4B8-21ACBED3ED49}" name="DEZ" dataDxfId="65"/>
    <tableColumn id="14" xr3:uid="{4477636F-2ECF-468E-9BF6-4574C0CE068B}" name="TOTAL ANUAL" dataDxfId="64">
      <calculatedColumnFormula>O30+O29</calculatedColumnFormula>
    </tableColumn>
  </tableColumns>
  <tableStyleInfo name="TableStyleMedium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DECAB8-9601-43FC-ACB7-2BAFF1C8D857}" name="Tabela511" displayName="Tabela511" ref="B51:O57" totalsRowShown="0" headerRowDxfId="63" headerRowBorderDxfId="62">
  <autoFilter ref="B51:O57" xr:uid="{79D1926D-5039-4F5C-B2DC-E453A07C6F56}"/>
  <tableColumns count="14">
    <tableColumn id="1" xr3:uid="{F3462065-0A49-4D51-857C-83653DA26C2D}" name="PLACAS" dataDxfId="61"/>
    <tableColumn id="2" xr3:uid="{7E7F7E08-04C8-46EA-8305-7941CC3F5735}" name="JAN" dataDxfId="60" dataCellStyle="Moeda">
      <calculatedColumnFormula>SUM(C48:C51)</calculatedColumnFormula>
    </tableColumn>
    <tableColumn id="3" xr3:uid="{12679C1D-1782-4C35-BA02-D2E724873286}" name="FEV" dataDxfId="59" dataCellStyle="Moeda"/>
    <tableColumn id="4" xr3:uid="{F0ECFBAF-D216-4BD2-8586-B0C84DCE5663}" name="MAR" dataDxfId="58" dataCellStyle="Moeda"/>
    <tableColumn id="5" xr3:uid="{60849FB3-AE35-4EDF-B8C9-7D4AE11DF415}" name="ABR" dataDxfId="57" dataCellStyle="Moeda"/>
    <tableColumn id="6" xr3:uid="{B4255AEB-1F52-49F4-8478-3F044DD8B0A3}" name="MAI" dataDxfId="56" dataCellStyle="Moeda"/>
    <tableColumn id="7" xr3:uid="{439C2437-9820-415E-B46F-E4A88FB0CE8C}" name="JUN" dataDxfId="55" dataCellStyle="Moeda"/>
    <tableColumn id="8" xr3:uid="{2061724D-347E-4165-BA06-EE53BFCF0CDD}" name="JUL" dataDxfId="54" dataCellStyle="Moeda"/>
    <tableColumn id="9" xr3:uid="{F8621430-F2EF-4107-B26A-C365972EAFB9}" name="AGO" dataDxfId="53" dataCellStyle="Moeda"/>
    <tableColumn id="10" xr3:uid="{B63C873C-BFE5-41AC-91B9-5D04CF4661FD}" name="SET" dataDxfId="52" dataCellStyle="Moeda"/>
    <tableColumn id="11" xr3:uid="{97A45655-3027-42E9-80DF-2F51D9E1EC95}" name="OUT" dataDxfId="51" dataCellStyle="Moeda"/>
    <tableColumn id="12" xr3:uid="{6B3ADCBE-FA78-4205-9241-35AC469CC926}" name="NOV" dataDxfId="50" dataCellStyle="Moeda"/>
    <tableColumn id="13" xr3:uid="{6CF2923D-7746-4642-9F67-FA1EEE1AEF75}" name="DEZ" dataDxfId="49" dataCellStyle="Moeda"/>
    <tableColumn id="14" xr3:uid="{344C3321-BF27-479D-B843-29E21D2E8D67}" name="TOTAL ANUAL" dataDxfId="48" dataCellStyle="Moeda">
      <calculatedColumnFormula>SUM(Tabela511[[#This Row],[JAN]:[DEZ]])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0BBD58-81C3-4476-900B-DBC87957A349}" name="Tabela5812" displayName="Tabela5812" ref="B61:O67" totalsRowShown="0" headerRowDxfId="47" headerRowBorderDxfId="46">
  <autoFilter ref="B61:O67" xr:uid="{EE8A9C31-E83F-4A01-899E-F66A03FE3E96}"/>
  <tableColumns count="14">
    <tableColumn id="1" xr3:uid="{AD722F18-84F2-4C25-998A-363B1F4705D0}" name="PLACAS" dataDxfId="45"/>
    <tableColumn id="2" xr3:uid="{51539458-5408-4E67-9CBB-99621C518024}" name="JAN" dataDxfId="44" dataCellStyle="Moeda">
      <calculatedColumnFormula>SUM(C57:C61)</calculatedColumnFormula>
    </tableColumn>
    <tableColumn id="3" xr3:uid="{23E76EDA-188B-48E3-BA7B-70116A266619}" name="FEV" dataDxfId="43" dataCellStyle="Moeda"/>
    <tableColumn id="4" xr3:uid="{F09415F7-CED0-46E1-80AF-8681BD383BA6}" name="MAR" dataDxfId="42" dataCellStyle="Moeda"/>
    <tableColumn id="5" xr3:uid="{D6C21531-4DD5-4719-8C1D-97553BE70B79}" name="ABR" dataDxfId="41" dataCellStyle="Moeda"/>
    <tableColumn id="6" xr3:uid="{B5E5119B-5504-4038-B4D7-4EAF7D59DA0A}" name="MAI" dataDxfId="40" dataCellStyle="Moeda"/>
    <tableColumn id="7" xr3:uid="{033EB4A7-71AB-4D03-90A1-88E952B30B37}" name="JUN" dataDxfId="39" dataCellStyle="Moeda"/>
    <tableColumn id="8" xr3:uid="{CCDAE6DF-FA0F-495B-8874-C0CA4FC518AA}" name="JUL" dataDxfId="38" dataCellStyle="Moeda"/>
    <tableColumn id="9" xr3:uid="{5134D532-727F-419C-9857-49D0F0CA0753}" name="AGO" dataDxfId="37" dataCellStyle="Moeda"/>
    <tableColumn id="10" xr3:uid="{D42D59B5-57A9-4CDE-BB67-88382736FB9B}" name="SET" dataDxfId="36" dataCellStyle="Moeda"/>
    <tableColumn id="11" xr3:uid="{7F5658B4-0200-4725-8772-F4955732D2F6}" name="OUT" dataDxfId="35" dataCellStyle="Moeda"/>
    <tableColumn id="12" xr3:uid="{2F8A7EB2-6BBD-46ED-9F87-0A5F8FA72008}" name="NOV" dataDxfId="34" dataCellStyle="Moeda"/>
    <tableColumn id="13" xr3:uid="{454926BA-B8F1-4BE7-9A68-3983DD13B3B7}" name="DEZ" dataDxfId="33" dataCellStyle="Moeda"/>
    <tableColumn id="14" xr3:uid="{55B55C3E-36DE-4E74-ABF5-3261C6DB131A}" name="TOTAL ANUAL" dataDxfId="32" dataCellStyle="Moeda">
      <calculatedColumnFormula>SUM(Tabela5812[[#This Row],[JAN]:[DEZ]])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1B770F0-483F-4F0C-A518-6F2299C521C7}" name="Tabela5713" displayName="Tabela5713" ref="B41:O47" totalsRowShown="0" headerRowDxfId="31" headerRowBorderDxfId="30">
  <autoFilter ref="B41:O47" xr:uid="{22C6DB26-2803-4DE1-B8B3-F9890386837D}"/>
  <tableColumns count="14">
    <tableColumn id="1" xr3:uid="{A1786F46-BB08-4669-B66A-96099862288D}" name="PLACAS" dataDxfId="29"/>
    <tableColumn id="2" xr3:uid="{A9CF609F-FF8F-4391-AD6A-C0DF070EA0BA}" name="JAN" dataDxfId="28" dataCellStyle="Moeda">
      <calculatedColumnFormula>SUM(C38:C41)</calculatedColumnFormula>
    </tableColumn>
    <tableColumn id="3" xr3:uid="{8DE61DC5-6230-46D4-B92F-DB26F367F492}" name="FEV" dataDxfId="27" dataCellStyle="Moeda"/>
    <tableColumn id="4" xr3:uid="{87986778-C9F6-4CCD-B71A-C9E2B7705479}" name="MAR" dataDxfId="26" dataCellStyle="Moeda"/>
    <tableColumn id="5" xr3:uid="{94B19F52-2577-458C-A0A8-D53F1E33CC3C}" name="ABR" dataDxfId="25" dataCellStyle="Moeda"/>
    <tableColumn id="6" xr3:uid="{88AA0337-B2D4-417F-9AA3-2B1E1B33C83E}" name="MAI" dataDxfId="24" dataCellStyle="Moeda"/>
    <tableColumn id="7" xr3:uid="{26892A92-260F-428F-B5B6-CBF99698EDD9}" name="JUN" dataDxfId="23" dataCellStyle="Moeda"/>
    <tableColumn id="8" xr3:uid="{018C8DB7-9979-42AB-9B0A-097981295AE8}" name="JUL" dataDxfId="22" dataCellStyle="Moeda"/>
    <tableColumn id="9" xr3:uid="{DC36967F-246B-415A-A05A-074CE118CE1A}" name="AGO" dataDxfId="21" dataCellStyle="Moeda"/>
    <tableColumn id="10" xr3:uid="{7DA73719-473E-437C-A788-DE7C77988E8D}" name="SET" dataDxfId="20" dataCellStyle="Moeda"/>
    <tableColumn id="11" xr3:uid="{D32B184B-392F-4830-9998-D66EB44EB1FB}" name="OUT" dataDxfId="19" dataCellStyle="Moeda"/>
    <tableColumn id="12" xr3:uid="{86A5A399-EF68-49DA-BE2F-4E2857F3C3C7}" name="NOV" dataDxfId="18" dataCellStyle="Moeda"/>
    <tableColumn id="13" xr3:uid="{261CDF15-E76D-4D92-B940-6F268EA6F997}" name="DEZ" dataDxfId="17" dataCellStyle="Moeda"/>
    <tableColumn id="14" xr3:uid="{7B9BA24F-7FF1-46D2-80C6-8EF57A54FD74}" name="TOTAL ANUAL" dataDxfId="16" dataCellStyle="Moeda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B4D539-05AC-45C9-BCBB-C2D23824EDA3}" name="Tabela57914" displayName="Tabela57914" ref="B51:O57" totalsRowShown="0" headerRowDxfId="15" headerRowBorderDxfId="14">
  <autoFilter ref="B51:O57" xr:uid="{B760716A-0187-4611-9D48-25AA9413E64E}"/>
  <tableColumns count="14">
    <tableColumn id="1" xr3:uid="{99DAFCE1-05F6-4B1A-B775-A0AD510185A8}" name="PLACAS" dataDxfId="13"/>
    <tableColumn id="2" xr3:uid="{CBB0E9E1-8A89-4045-9C5B-5E5711809390}" name="JAN" dataDxfId="12" dataCellStyle="Moeda">
      <calculatedColumnFormula>SUM(C48:C51)</calculatedColumnFormula>
    </tableColumn>
    <tableColumn id="3" xr3:uid="{48749629-F681-4577-8E06-54FB448676F2}" name="FEV" dataDxfId="11" dataCellStyle="Moeda"/>
    <tableColumn id="4" xr3:uid="{6B2F838B-5D0B-4A65-B311-52F2EDF342CA}" name="MAR" dataDxfId="10" dataCellStyle="Moeda"/>
    <tableColumn id="5" xr3:uid="{806A6272-BD6D-4168-9147-8F74AD884FB2}" name="ABR" dataDxfId="9" dataCellStyle="Moeda"/>
    <tableColumn id="6" xr3:uid="{E83B3900-95CE-4312-A4E5-17C80F79F2D0}" name="MAI" dataDxfId="8" dataCellStyle="Moeda"/>
    <tableColumn id="7" xr3:uid="{0CA8B823-562A-4DE8-9012-C2F28B3E5733}" name="JUN" dataDxfId="7" dataCellStyle="Moeda"/>
    <tableColumn id="8" xr3:uid="{95CCF6E2-20F6-4D1D-9F9B-C7BACCAC4293}" name="JUL" dataDxfId="6" dataCellStyle="Moeda"/>
    <tableColumn id="9" xr3:uid="{AA692DED-D754-41F2-9817-FFF2C458D3A9}" name="AGO" dataDxfId="5" dataCellStyle="Moeda"/>
    <tableColumn id="10" xr3:uid="{B9607D91-3863-4D0D-A35F-0D2F61D6A0FC}" name="SET" dataDxfId="4" dataCellStyle="Moeda"/>
    <tableColumn id="11" xr3:uid="{9A3D73B8-97A1-485B-AD2A-46B650A5207F}" name="OUT" dataDxfId="3" dataCellStyle="Moeda"/>
    <tableColumn id="12" xr3:uid="{9105557F-B62A-477A-B560-9C08C1323E0A}" name="NOV" dataDxfId="2" dataCellStyle="Moeda"/>
    <tableColumn id="13" xr3:uid="{6DC0C5DB-38D7-4985-921A-F27D15090F54}" name="DEZ" dataDxfId="1" dataCellStyle="Moeda"/>
    <tableColumn id="14" xr3:uid="{2747D0F7-40B0-412A-836B-133A497AF83D}" name="TOTAL ANUAL" dataDxfId="0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99EE6D-5547-40E3-85FE-E087E00EE967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888a99f3-51da-4b3d-9a5f-b86b58182b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E4F7-291E-4B93-A38C-01CD736CA371}">
  <sheetPr>
    <tabColor rgb="FF00B050"/>
  </sheetPr>
  <dimension ref="A49:O69"/>
  <sheetViews>
    <sheetView tabSelected="1" topLeftCell="A41" zoomScale="90" zoomScaleNormal="90" workbookViewId="0">
      <selection activeCell="C62" sqref="C62:N66"/>
    </sheetView>
  </sheetViews>
  <sheetFormatPr defaultColWidth="9.28515625" defaultRowHeight="15" x14ac:dyDescent="0.25"/>
  <cols>
    <col min="1" max="1" width="12" bestFit="1" customWidth="1"/>
    <col min="2" max="2" width="20.42578125" bestFit="1" customWidth="1"/>
    <col min="3" max="3" width="9.5703125" bestFit="1" customWidth="1"/>
    <col min="5" max="5" width="10.28515625" bestFit="1" customWidth="1"/>
    <col min="6" max="6" width="13.85546875" bestFit="1" customWidth="1"/>
    <col min="7" max="7" width="14.85546875" bestFit="1" customWidth="1"/>
    <col min="8" max="8" width="13.85546875" bestFit="1" customWidth="1"/>
    <col min="9" max="9" width="14.85546875" bestFit="1" customWidth="1"/>
    <col min="10" max="12" width="13.85546875" bestFit="1" customWidth="1"/>
    <col min="13" max="13" width="14" bestFit="1" customWidth="1"/>
    <col min="14" max="14" width="13.7109375" bestFit="1" customWidth="1"/>
    <col min="15" max="15" width="18.42578125" bestFit="1" customWidth="1"/>
  </cols>
  <sheetData>
    <row r="49" spans="1:15" ht="28.5" x14ac:dyDescent="0.45">
      <c r="B49" s="48">
        <v>2025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</row>
    <row r="50" spans="1:15" ht="21" x14ac:dyDescent="0.35">
      <c r="B50" s="49" t="s">
        <v>24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ht="15.75" thickBot="1" x14ac:dyDescent="0.3">
      <c r="B51" s="7" t="s">
        <v>12</v>
      </c>
      <c r="C51" s="7" t="s">
        <v>0</v>
      </c>
      <c r="D51" s="7" t="s">
        <v>1</v>
      </c>
      <c r="E51" s="7" t="s">
        <v>2</v>
      </c>
      <c r="F51" s="7" t="s">
        <v>3</v>
      </c>
      <c r="G51" s="7" t="s">
        <v>4</v>
      </c>
      <c r="H51" s="7" t="s">
        <v>5</v>
      </c>
      <c r="I51" s="7" t="s">
        <v>6</v>
      </c>
      <c r="J51" s="7" t="s">
        <v>7</v>
      </c>
      <c r="K51" s="7" t="s">
        <v>8</v>
      </c>
      <c r="L51" s="7" t="s">
        <v>9</v>
      </c>
      <c r="M51" s="7" t="s">
        <v>10</v>
      </c>
      <c r="N51" s="9" t="s">
        <v>11</v>
      </c>
      <c r="O51" s="7" t="s">
        <v>20</v>
      </c>
    </row>
    <row r="52" spans="1:15" x14ac:dyDescent="0.25">
      <c r="A52" s="1"/>
      <c r="B52" s="6" t="s">
        <v>17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"/>
      <c r="B53" s="1" t="s">
        <v>15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"/>
      <c r="B54" s="6" t="s">
        <v>14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"/>
      <c r="B55" s="1" t="s">
        <v>16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1"/>
      <c r="B56" s="6" t="s">
        <v>18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ht="15.75" thickBot="1" x14ac:dyDescent="0.3">
      <c r="B57" s="11" t="s">
        <v>26</v>
      </c>
      <c r="C57" s="12">
        <f t="shared" ref="C57" si="0">SUM(C52:C56)</f>
        <v>0</v>
      </c>
      <c r="D57" s="12">
        <f t="shared" ref="D57" si="1">SUM(D52:D56)</f>
        <v>0</v>
      </c>
      <c r="E57" s="12">
        <f t="shared" ref="E57" si="2">SUM(E52:E56)</f>
        <v>0</v>
      </c>
      <c r="F57" s="12">
        <f t="shared" ref="F57" si="3">SUM(F52:F56)</f>
        <v>0</v>
      </c>
      <c r="G57" s="12">
        <f t="shared" ref="G57" si="4">SUM(G52:G56)</f>
        <v>0</v>
      </c>
      <c r="H57" s="12">
        <f t="shared" ref="H57" si="5">SUM(H52:H56)</f>
        <v>0</v>
      </c>
      <c r="I57" s="12">
        <f>SUM(I52:I56)</f>
        <v>0</v>
      </c>
      <c r="J57" s="12">
        <f t="shared" ref="J57" si="6">SUM(J52:J56)</f>
        <v>0</v>
      </c>
      <c r="K57" s="12">
        <f t="shared" ref="K57" si="7">SUM(K52:K56)</f>
        <v>0</v>
      </c>
      <c r="L57" s="12">
        <f t="shared" ref="L57" si="8">SUM(L52:L56)</f>
        <v>0</v>
      </c>
      <c r="M57" s="12">
        <f t="shared" ref="M57" si="9">SUM(M52:M56)</f>
        <v>0</v>
      </c>
      <c r="N57" s="12">
        <f t="shared" ref="N57" si="10">SUM(N52:N56)</f>
        <v>0</v>
      </c>
      <c r="O57" s="12">
        <f t="shared" ref="O57" si="11">SUM(O52:O56)</f>
        <v>0</v>
      </c>
    </row>
    <row r="59" spans="1:15" ht="28.5" x14ac:dyDescent="0.45">
      <c r="B59" s="48">
        <v>2025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spans="1:15" ht="21" x14ac:dyDescent="0.35">
      <c r="B60" s="49" t="s">
        <v>25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1:15" ht="15.75" thickBot="1" x14ac:dyDescent="0.3">
      <c r="B61" s="7" t="s">
        <v>12</v>
      </c>
      <c r="C61" s="7" t="s">
        <v>0</v>
      </c>
      <c r="D61" s="7" t="s">
        <v>1</v>
      </c>
      <c r="E61" s="7" t="s">
        <v>2</v>
      </c>
      <c r="F61" s="7" t="s">
        <v>3</v>
      </c>
      <c r="G61" s="7" t="s">
        <v>4</v>
      </c>
      <c r="H61" s="7" t="s">
        <v>5</v>
      </c>
      <c r="I61" s="7" t="s">
        <v>6</v>
      </c>
      <c r="J61" s="7" t="s">
        <v>7</v>
      </c>
      <c r="K61" s="7" t="s">
        <v>8</v>
      </c>
      <c r="L61" s="7" t="s">
        <v>9</v>
      </c>
      <c r="M61" s="7" t="s">
        <v>10</v>
      </c>
      <c r="N61" s="9" t="s">
        <v>11</v>
      </c>
      <c r="O61" s="7" t="s">
        <v>20</v>
      </c>
    </row>
    <row r="62" spans="1:15" x14ac:dyDescent="0.25">
      <c r="A62" s="1"/>
      <c r="B62" s="6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x14ac:dyDescent="0.25">
      <c r="A63" s="1"/>
      <c r="B63" s="1" t="s">
        <v>15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x14ac:dyDescent="0.25">
      <c r="A64" s="1"/>
      <c r="B64" s="6" t="s">
        <v>14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x14ac:dyDescent="0.25">
      <c r="A65" s="1"/>
      <c r="B65" s="1" t="s">
        <v>16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x14ac:dyDescent="0.25">
      <c r="A66" s="1"/>
      <c r="B66" s="6" t="s">
        <v>18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15.75" thickBot="1" x14ac:dyDescent="0.3">
      <c r="B67" s="11" t="s">
        <v>26</v>
      </c>
      <c r="C67" s="12">
        <f t="shared" ref="C62:C67" si="12">SUM(C62:C66)</f>
        <v>0</v>
      </c>
      <c r="D67" s="12">
        <f t="shared" ref="D67" si="13">SUM(D62:D66)</f>
        <v>0</v>
      </c>
      <c r="E67" s="12">
        <f t="shared" ref="E67" si="14">SUM(E62:E66)</f>
        <v>0</v>
      </c>
      <c r="F67" s="12">
        <f t="shared" ref="F67" si="15">SUM(F62:F66)</f>
        <v>0</v>
      </c>
      <c r="G67" s="12">
        <f t="shared" ref="G67" si="16">SUM(G62:G66)</f>
        <v>0</v>
      </c>
      <c r="H67" s="12">
        <f t="shared" ref="H67" si="17">SUM(H62:H66)</f>
        <v>0</v>
      </c>
      <c r="I67" s="12">
        <f>SUM(I62:I66)</f>
        <v>0</v>
      </c>
      <c r="J67" s="12">
        <f t="shared" ref="J67" si="18">SUM(J62:J66)</f>
        <v>0</v>
      </c>
      <c r="K67" s="12">
        <f t="shared" ref="K67" si="19">SUM(K62:K66)</f>
        <v>0</v>
      </c>
      <c r="L67" s="12">
        <f t="shared" ref="L67" si="20">SUM(L62:L66)</f>
        <v>0</v>
      </c>
      <c r="M67" s="12">
        <f t="shared" ref="M67" si="21">SUM(M62:M66)</f>
        <v>0</v>
      </c>
      <c r="N67" s="12">
        <f t="shared" ref="N67" si="22">SUM(N62:N66)</f>
        <v>0</v>
      </c>
      <c r="O67" s="12">
        <f t="shared" ref="O67" si="23">SUM(O62:O66)</f>
        <v>0</v>
      </c>
    </row>
    <row r="69" spans="1:15" x14ac:dyDescent="0.25">
      <c r="F69" s="13"/>
      <c r="G69" s="13"/>
      <c r="H69" s="13"/>
      <c r="I69" s="13"/>
      <c r="J69" s="13"/>
      <c r="K69" s="13"/>
      <c r="L69" s="13"/>
      <c r="M69" s="13"/>
      <c r="N69" s="13"/>
      <c r="O69" s="13"/>
    </row>
  </sheetData>
  <mergeCells count="4">
    <mergeCell ref="B49:O49"/>
    <mergeCell ref="B50:O50"/>
    <mergeCell ref="B59:O59"/>
    <mergeCell ref="B60:O60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A8E5-94CA-4AD0-AC9A-1E7B2EA11BDF}">
  <sheetPr>
    <tabColor rgb="FF00B050"/>
  </sheetPr>
  <dimension ref="A39:O59"/>
  <sheetViews>
    <sheetView topLeftCell="A38" zoomScale="90" zoomScaleNormal="90" workbookViewId="0">
      <selection activeCell="C52" sqref="C52:N56"/>
    </sheetView>
  </sheetViews>
  <sheetFormatPr defaultRowHeight="15" x14ac:dyDescent="0.25"/>
  <cols>
    <col min="1" max="1" width="12" bestFit="1" customWidth="1"/>
    <col min="2" max="2" width="16.28515625" bestFit="1" customWidth="1"/>
    <col min="3" max="3" width="9.5703125" bestFit="1" customWidth="1"/>
    <col min="4" max="4" width="9.28515625" bestFit="1" customWidth="1"/>
    <col min="5" max="5" width="10.28515625" bestFit="1" customWidth="1"/>
    <col min="6" max="7" width="13.85546875" bestFit="1" customWidth="1"/>
    <col min="8" max="8" width="14.85546875" bestFit="1" customWidth="1"/>
    <col min="9" max="10" width="13.85546875" bestFit="1" customWidth="1"/>
    <col min="11" max="11" width="13.7109375" bestFit="1" customWidth="1"/>
    <col min="12" max="13" width="13.85546875" bestFit="1" customWidth="1"/>
    <col min="14" max="14" width="13.7109375" bestFit="1" customWidth="1"/>
    <col min="15" max="15" width="18.42578125" bestFit="1" customWidth="1"/>
  </cols>
  <sheetData>
    <row r="39" spans="1:15" ht="28.5" x14ac:dyDescent="0.45">
      <c r="B39" s="48">
        <v>2025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</row>
    <row r="40" spans="1:15" ht="21" x14ac:dyDescent="0.35">
      <c r="B40" s="49" t="s">
        <v>24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ht="15.75" thickBot="1" x14ac:dyDescent="0.3">
      <c r="B41" s="7" t="s">
        <v>12</v>
      </c>
      <c r="C41" s="7" t="s">
        <v>0</v>
      </c>
      <c r="D41" s="7" t="s">
        <v>1</v>
      </c>
      <c r="E41" s="7" t="s">
        <v>2</v>
      </c>
      <c r="F41" s="7" t="s">
        <v>3</v>
      </c>
      <c r="G41" s="7" t="s">
        <v>4</v>
      </c>
      <c r="H41" s="7" t="s">
        <v>5</v>
      </c>
      <c r="I41" s="7" t="s">
        <v>6</v>
      </c>
      <c r="J41" s="7" t="s">
        <v>7</v>
      </c>
      <c r="K41" s="7" t="s">
        <v>8</v>
      </c>
      <c r="L41" s="7" t="s">
        <v>9</v>
      </c>
      <c r="M41" s="7" t="s">
        <v>10</v>
      </c>
      <c r="N41" s="9" t="s">
        <v>11</v>
      </c>
      <c r="O41" s="7" t="s">
        <v>20</v>
      </c>
    </row>
    <row r="42" spans="1:15" x14ac:dyDescent="0.25">
      <c r="A42" s="1"/>
      <c r="B42" s="6" t="s">
        <v>17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5">
      <c r="A43" s="1"/>
      <c r="B43" s="1" t="s">
        <v>15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5">
      <c r="A44" s="1"/>
      <c r="B44" s="6" t="s">
        <v>14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A45" s="1"/>
      <c r="B45" s="1" t="s">
        <v>16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1"/>
      <c r="B46" s="6" t="s">
        <v>18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ht="15.75" thickBot="1" x14ac:dyDescent="0.3">
      <c r="B47" s="11" t="s">
        <v>27</v>
      </c>
      <c r="C47" s="12">
        <f t="shared" ref="C44:C47" si="0">SUM(C42:C46)</f>
        <v>0</v>
      </c>
      <c r="D47" s="12">
        <f t="shared" ref="D47" si="1">SUM(D42:D46)</f>
        <v>0</v>
      </c>
      <c r="E47" s="12">
        <f t="shared" ref="E47" si="2">SUM(E42:E46)</f>
        <v>0</v>
      </c>
      <c r="F47" s="12">
        <f t="shared" ref="F47" si="3">SUM(F42:F46)</f>
        <v>0</v>
      </c>
      <c r="G47" s="12">
        <f t="shared" ref="G47" si="4">SUM(G42:G46)</f>
        <v>0</v>
      </c>
      <c r="H47" s="12">
        <f t="shared" ref="H47" si="5">SUM(H42:H46)</f>
        <v>0</v>
      </c>
      <c r="I47" s="12">
        <f>SUM(I42:I46)</f>
        <v>0</v>
      </c>
      <c r="J47" s="12">
        <f t="shared" ref="J47" si="6">SUM(J42:J46)</f>
        <v>0</v>
      </c>
      <c r="K47" s="12">
        <f t="shared" ref="K47" si="7">SUM(K42:K46)</f>
        <v>0</v>
      </c>
      <c r="L47" s="12">
        <f t="shared" ref="L47" si="8">SUM(L42:L46)</f>
        <v>0</v>
      </c>
      <c r="M47" s="12">
        <f t="shared" ref="M47" si="9">SUM(M42:M46)</f>
        <v>0</v>
      </c>
      <c r="N47" s="12">
        <f t="shared" ref="N47" si="10">SUM(N42:N46)</f>
        <v>0</v>
      </c>
      <c r="O47" s="12">
        <f t="shared" ref="O47" si="11">SUM(O42:O46)</f>
        <v>0</v>
      </c>
    </row>
    <row r="49" spans="1:15" ht="28.5" x14ac:dyDescent="0.45">
      <c r="B49" s="48">
        <v>2025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</row>
    <row r="50" spans="1:15" ht="21" x14ac:dyDescent="0.35">
      <c r="B50" s="49" t="s">
        <v>25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ht="15.75" thickBot="1" x14ac:dyDescent="0.3">
      <c r="B51" s="7" t="s">
        <v>12</v>
      </c>
      <c r="C51" s="7" t="s">
        <v>0</v>
      </c>
      <c r="D51" s="7" t="s">
        <v>1</v>
      </c>
      <c r="E51" s="7" t="s">
        <v>2</v>
      </c>
      <c r="F51" s="7" t="s">
        <v>3</v>
      </c>
      <c r="G51" s="7" t="s">
        <v>4</v>
      </c>
      <c r="H51" s="7" t="s">
        <v>5</v>
      </c>
      <c r="I51" s="7" t="s">
        <v>6</v>
      </c>
      <c r="J51" s="7" t="s">
        <v>7</v>
      </c>
      <c r="K51" s="7" t="s">
        <v>8</v>
      </c>
      <c r="L51" s="7" t="s">
        <v>9</v>
      </c>
      <c r="M51" s="7" t="s">
        <v>10</v>
      </c>
      <c r="N51" s="9" t="s">
        <v>11</v>
      </c>
      <c r="O51" s="7" t="s">
        <v>20</v>
      </c>
    </row>
    <row r="52" spans="1:15" x14ac:dyDescent="0.25">
      <c r="A52" s="1"/>
      <c r="B52" s="6" t="s">
        <v>17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"/>
      <c r="B53" s="1" t="s">
        <v>15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"/>
      <c r="B54" s="6" t="s">
        <v>14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"/>
      <c r="B55" s="1" t="s">
        <v>16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1"/>
      <c r="B56" s="6" t="s">
        <v>18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ht="15.75" thickBot="1" x14ac:dyDescent="0.3">
      <c r="B57" s="11" t="s">
        <v>27</v>
      </c>
      <c r="C57" s="12">
        <f t="shared" ref="C53:C57" si="12">SUM(C52:C56)</f>
        <v>0</v>
      </c>
      <c r="D57" s="12">
        <f t="shared" ref="D57" si="13">SUM(D52:D56)</f>
        <v>0</v>
      </c>
      <c r="E57" s="12">
        <f t="shared" ref="E57" si="14">SUM(E52:E56)</f>
        <v>0</v>
      </c>
      <c r="F57" s="12">
        <f t="shared" ref="F57" si="15">SUM(F52:F56)</f>
        <v>0</v>
      </c>
      <c r="G57" s="12">
        <f t="shared" ref="G57" si="16">SUM(G52:G56)</f>
        <v>0</v>
      </c>
      <c r="H57" s="12">
        <f t="shared" ref="H57" si="17">SUM(H52:H56)</f>
        <v>0</v>
      </c>
      <c r="I57" s="12">
        <f>SUM(I52:I56)</f>
        <v>0</v>
      </c>
      <c r="J57" s="12">
        <f t="shared" ref="J57" si="18">SUM(J52:J56)</f>
        <v>0</v>
      </c>
      <c r="K57" s="12">
        <f t="shared" ref="K57" si="19">SUM(K52:K56)</f>
        <v>0</v>
      </c>
      <c r="L57" s="12">
        <f t="shared" ref="L57" si="20">SUM(L52:L56)</f>
        <v>0</v>
      </c>
      <c r="M57" s="12">
        <f t="shared" ref="M57" si="21">SUM(M52:M56)</f>
        <v>0</v>
      </c>
      <c r="N57" s="12">
        <f t="shared" ref="N57" si="22">SUM(N52:N56)</f>
        <v>0</v>
      </c>
      <c r="O57" s="12">
        <f t="shared" ref="O57" si="23">SUM(O52:O56)</f>
        <v>0</v>
      </c>
    </row>
    <row r="59" spans="1:15" x14ac:dyDescent="0.25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</sheetData>
  <mergeCells count="4">
    <mergeCell ref="B39:O39"/>
    <mergeCell ref="B40:O40"/>
    <mergeCell ref="B49:O49"/>
    <mergeCell ref="B50:O50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FE7A-574B-4D22-BC9A-43A83DBD5B16}">
  <dimension ref="B1:P36"/>
  <sheetViews>
    <sheetView topLeftCell="A14" zoomScale="80" zoomScaleNormal="80" workbookViewId="0">
      <selection activeCell="P31" sqref="P31"/>
    </sheetView>
  </sheetViews>
  <sheetFormatPr defaultColWidth="9.140625" defaultRowHeight="15" x14ac:dyDescent="0.25"/>
  <cols>
    <col min="1" max="1" width="8.85546875" style="1" customWidth="1"/>
    <col min="2" max="2" width="15.28515625" style="1" bestFit="1" customWidth="1"/>
    <col min="3" max="13" width="15.28515625" style="2" bestFit="1" customWidth="1"/>
    <col min="14" max="14" width="15.28515625" style="10" bestFit="1" customWidth="1"/>
    <col min="15" max="15" width="21.5703125" style="2" bestFit="1" customWidth="1"/>
    <col min="16" max="16" width="13.28515625" style="2" customWidth="1"/>
    <col min="17" max="16384" width="9.140625" style="1"/>
  </cols>
  <sheetData>
    <row r="1" spans="2:15" ht="28.5" x14ac:dyDescent="0.45">
      <c r="B1" s="3"/>
      <c r="C1" s="4"/>
      <c r="D1" s="4"/>
      <c r="E1" s="4"/>
      <c r="F1" s="4"/>
      <c r="G1" s="4"/>
      <c r="H1" s="4"/>
      <c r="I1" s="5">
        <v>2023</v>
      </c>
      <c r="J1" s="4"/>
      <c r="K1" s="4"/>
      <c r="L1" s="4"/>
      <c r="M1" s="4"/>
      <c r="N1" s="8"/>
      <c r="O1" s="4"/>
    </row>
    <row r="2" spans="2:15" x14ac:dyDescent="0.25">
      <c r="B2" s="1" t="s">
        <v>12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20</v>
      </c>
    </row>
    <row r="3" spans="2:15" x14ac:dyDescent="0.25">
      <c r="B3" s="1" t="s">
        <v>17</v>
      </c>
      <c r="C3" s="2">
        <v>43851</v>
      </c>
      <c r="D3" s="2">
        <v>49900</v>
      </c>
      <c r="E3" s="2">
        <v>68800</v>
      </c>
      <c r="F3" s="2">
        <v>58200</v>
      </c>
      <c r="G3" s="2">
        <v>69500</v>
      </c>
      <c r="H3" s="2">
        <v>58600</v>
      </c>
      <c r="I3" s="2">
        <v>67300</v>
      </c>
      <c r="J3" s="2">
        <v>49100</v>
      </c>
      <c r="K3" s="2">
        <v>9100</v>
      </c>
      <c r="L3" s="2" t="s">
        <v>19</v>
      </c>
      <c r="M3" s="2" t="s">
        <v>19</v>
      </c>
      <c r="N3" s="2" t="s">
        <v>19</v>
      </c>
      <c r="O3" s="2">
        <f>SUM(Tabela1[[#This Row],[JAN]:[SET]])</f>
        <v>474351</v>
      </c>
    </row>
    <row r="4" spans="2:15" x14ac:dyDescent="0.25">
      <c r="B4" s="1" t="s">
        <v>15</v>
      </c>
      <c r="C4" s="2">
        <v>44252.47</v>
      </c>
      <c r="D4" s="2">
        <v>36458</v>
      </c>
      <c r="E4" s="2">
        <v>36208.6</v>
      </c>
      <c r="F4" s="2">
        <v>28292.1</v>
      </c>
      <c r="G4" s="2">
        <v>53063</v>
      </c>
      <c r="H4" s="2">
        <v>32587.200000000001</v>
      </c>
      <c r="I4" s="2">
        <v>37057.5</v>
      </c>
      <c r="J4" s="2">
        <v>40454.550000000003</v>
      </c>
      <c r="K4" s="2">
        <v>45103.8</v>
      </c>
      <c r="L4" s="2">
        <v>47515.94</v>
      </c>
      <c r="M4" s="2">
        <v>39374.199999999997</v>
      </c>
      <c r="N4" s="2">
        <v>43709.95</v>
      </c>
      <c r="O4" s="2">
        <f>SUM(Tabela1[[#This Row],[JAN]:[SET]])</f>
        <v>353477.22</v>
      </c>
    </row>
    <row r="5" spans="2:15" x14ac:dyDescent="0.25">
      <c r="B5" s="1" t="s">
        <v>14</v>
      </c>
      <c r="C5" s="2">
        <v>24777</v>
      </c>
      <c r="D5" s="2">
        <v>44581</v>
      </c>
      <c r="E5" s="2">
        <v>36691.4</v>
      </c>
      <c r="F5" s="2">
        <v>43605</v>
      </c>
      <c r="G5" s="2">
        <v>53321.35</v>
      </c>
      <c r="H5" s="2">
        <v>44406.400000000001</v>
      </c>
      <c r="I5" s="2">
        <v>41497.800000000003</v>
      </c>
      <c r="J5" s="2">
        <v>32583.8</v>
      </c>
      <c r="K5" s="2">
        <v>40305.800000000003</v>
      </c>
      <c r="L5" s="2">
        <v>54749.1</v>
      </c>
      <c r="M5" s="2">
        <v>47369.5</v>
      </c>
      <c r="N5" s="2">
        <v>41226.019999999997</v>
      </c>
      <c r="O5" s="2">
        <f>SUM(Tabela1[[#This Row],[JAN]:[SET]])</f>
        <v>361769.55</v>
      </c>
    </row>
    <row r="6" spans="2:15" x14ac:dyDescent="0.25">
      <c r="B6" s="1" t="s">
        <v>16</v>
      </c>
      <c r="C6" s="2">
        <v>40486.5</v>
      </c>
      <c r="D6" s="2">
        <v>45477.24</v>
      </c>
      <c r="E6" s="2">
        <v>43384.800000000003</v>
      </c>
      <c r="F6" s="2">
        <v>36085.1</v>
      </c>
      <c r="G6" s="2">
        <v>37971.800000000003</v>
      </c>
      <c r="H6" s="2">
        <v>65544.7</v>
      </c>
      <c r="I6" s="2">
        <v>41899.42</v>
      </c>
      <c r="J6" s="2">
        <v>50985.919999999998</v>
      </c>
      <c r="K6" s="2">
        <v>40305.800000000003</v>
      </c>
      <c r="L6" s="2">
        <v>49570.38</v>
      </c>
      <c r="M6" s="2">
        <v>47167.45</v>
      </c>
      <c r="N6" s="2">
        <v>34659.9</v>
      </c>
      <c r="O6" s="2">
        <f>SUM(Tabela1[[#This Row],[JAN]:[SET]])</f>
        <v>402141.27999999997</v>
      </c>
    </row>
    <row r="7" spans="2:15" x14ac:dyDescent="0.25">
      <c r="B7" s="1" t="s">
        <v>18</v>
      </c>
      <c r="C7" s="2">
        <v>40487.32</v>
      </c>
      <c r="D7" s="2">
        <v>12629</v>
      </c>
      <c r="E7" s="2">
        <v>45479.7</v>
      </c>
      <c r="F7" s="2">
        <v>31130.5</v>
      </c>
      <c r="G7" s="2">
        <v>41259.199999999997</v>
      </c>
      <c r="H7" s="2">
        <v>43304.55</v>
      </c>
      <c r="I7" s="2">
        <v>52551</v>
      </c>
      <c r="J7" s="2">
        <v>41753.9</v>
      </c>
      <c r="K7" s="2">
        <v>39719.22</v>
      </c>
      <c r="L7" s="2">
        <v>41645.519999999997</v>
      </c>
      <c r="M7" s="2">
        <v>32161.8</v>
      </c>
      <c r="N7" s="2">
        <v>46851.02</v>
      </c>
      <c r="O7" s="2">
        <f>SUM(Tabela1[[#This Row],[JAN]:[SET]])</f>
        <v>348314.39</v>
      </c>
    </row>
    <row r="8" spans="2:15" x14ac:dyDescent="0.25">
      <c r="B8" s="1" t="s">
        <v>13</v>
      </c>
      <c r="C8" s="2">
        <v>41493</v>
      </c>
      <c r="D8" s="2">
        <v>42309.96</v>
      </c>
      <c r="E8" s="2">
        <v>32614.2</v>
      </c>
      <c r="F8" s="2">
        <v>41011.5</v>
      </c>
      <c r="G8" s="2">
        <v>54511.3</v>
      </c>
      <c r="H8" s="2">
        <v>37677.800000000003</v>
      </c>
      <c r="I8" s="2">
        <v>29811.85</v>
      </c>
      <c r="J8" s="2">
        <v>50672.2</v>
      </c>
      <c r="K8" s="2">
        <v>51893.3</v>
      </c>
      <c r="L8" s="2">
        <v>37274.1</v>
      </c>
      <c r="M8" s="2">
        <v>17981</v>
      </c>
      <c r="N8" s="2" t="s">
        <v>19</v>
      </c>
      <c r="O8" s="2">
        <f>SUM(Tabela1[[#This Row],[JAN]:[SET]])</f>
        <v>381995.10999999993</v>
      </c>
    </row>
    <row r="9" spans="2:15" x14ac:dyDescent="0.25">
      <c r="B9" s="1" t="s">
        <v>23</v>
      </c>
      <c r="C9" s="2">
        <f>SUM(Tabela1[JAN])</f>
        <v>235347.29</v>
      </c>
      <c r="D9" s="2">
        <f>SUM(Tabela1[FEV])</f>
        <v>231355.19999999998</v>
      </c>
      <c r="E9" s="2">
        <f>SUM(Tabela1[MAR])</f>
        <v>263178.7</v>
      </c>
      <c r="F9" s="2">
        <f>SUM(Tabela1[ABR])</f>
        <v>238324.2</v>
      </c>
      <c r="G9" s="2">
        <f>SUM(Tabela1[MAI])</f>
        <v>309626.65000000002</v>
      </c>
      <c r="H9" s="2">
        <f>SUM(Tabela1[JUN])</f>
        <v>282120.64999999997</v>
      </c>
      <c r="I9" s="2">
        <f>SUM(Tabela1[JUL])</f>
        <v>270117.56999999995</v>
      </c>
      <c r="J9" s="2">
        <f>SUM(Tabela1[AGO])</f>
        <v>265550.37</v>
      </c>
      <c r="K9" s="2">
        <f>SUM(Tabela1[SET])</f>
        <v>226427.92000000004</v>
      </c>
      <c r="L9" s="2">
        <f>SUM(Tabela1[OUT])</f>
        <v>230755.04</v>
      </c>
      <c r="M9" s="2">
        <f>SUM(Tabela1[NOV])</f>
        <v>184053.94999999998</v>
      </c>
      <c r="N9" s="2">
        <f>SUM(Tabela1[DEZ])</f>
        <v>166446.88999999998</v>
      </c>
      <c r="O9" s="2">
        <f>SUM(Tabela1[TOTAL ANUAL])</f>
        <v>2322048.5499999998</v>
      </c>
    </row>
    <row r="10" spans="2:15" x14ac:dyDescent="0.25">
      <c r="N10" s="2"/>
    </row>
    <row r="11" spans="2:15" ht="28.5" x14ac:dyDescent="0.45">
      <c r="B11" s="3"/>
      <c r="C11" s="4"/>
      <c r="D11" s="4"/>
      <c r="E11" s="4"/>
      <c r="F11" s="4"/>
      <c r="G11" s="4"/>
      <c r="H11" s="4"/>
      <c r="I11" s="5">
        <v>2024</v>
      </c>
      <c r="J11" s="4"/>
      <c r="K11" s="4"/>
      <c r="L11" s="4"/>
      <c r="M11" s="4"/>
      <c r="N11" s="8"/>
      <c r="O11" s="4"/>
    </row>
    <row r="12" spans="2:15" x14ac:dyDescent="0.25">
      <c r="B12" s="1" t="s">
        <v>12</v>
      </c>
      <c r="C12" s="2" t="s">
        <v>0</v>
      </c>
      <c r="D12" s="2" t="s">
        <v>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2" t="s">
        <v>10</v>
      </c>
      <c r="N12" s="2" t="s">
        <v>11</v>
      </c>
      <c r="O12" s="2" t="s">
        <v>21</v>
      </c>
    </row>
    <row r="13" spans="2:15" x14ac:dyDescent="0.25">
      <c r="B13" s="1" t="s">
        <v>17</v>
      </c>
      <c r="C13" s="2">
        <v>32185.1</v>
      </c>
      <c r="D13" s="2">
        <v>41852.379999999997</v>
      </c>
      <c r="E13" s="2">
        <v>26416.400000000001</v>
      </c>
      <c r="F13" s="2">
        <v>29851</v>
      </c>
      <c r="G13" s="2">
        <v>33530.199999999997</v>
      </c>
      <c r="H13" s="2">
        <v>34022.83</v>
      </c>
      <c r="I13" s="2">
        <v>30899.13</v>
      </c>
      <c r="J13" s="2">
        <v>43286.62</v>
      </c>
      <c r="K13" s="2">
        <v>38140.9</v>
      </c>
      <c r="L13" s="2">
        <v>45588.78</v>
      </c>
      <c r="M13" s="2">
        <v>28085</v>
      </c>
      <c r="N13" s="2">
        <v>29206.5</v>
      </c>
      <c r="O13" s="2">
        <f>SUM(Tabela24[[#This Row],[JAN]:[DEZ]])</f>
        <v>413064.84000000008</v>
      </c>
    </row>
    <row r="14" spans="2:15" x14ac:dyDescent="0.25">
      <c r="B14" s="1" t="s">
        <v>15</v>
      </c>
      <c r="C14" s="2">
        <v>38837.5</v>
      </c>
      <c r="D14" s="2">
        <v>34724.5</v>
      </c>
      <c r="E14" s="2">
        <v>35524.01</v>
      </c>
      <c r="F14" s="2">
        <v>33587.1</v>
      </c>
      <c r="G14" s="2">
        <v>43699.5</v>
      </c>
      <c r="H14" s="2">
        <v>28682.66</v>
      </c>
      <c r="I14" s="2">
        <v>32647</v>
      </c>
      <c r="J14" s="2">
        <v>38658.1</v>
      </c>
      <c r="K14" s="2">
        <v>36730</v>
      </c>
      <c r="L14" s="2">
        <v>23695.5</v>
      </c>
      <c r="M14" s="2">
        <v>29781</v>
      </c>
      <c r="N14" s="2">
        <v>31997</v>
      </c>
      <c r="O14" s="2">
        <f>SUM(Tabela24[[#This Row],[JAN]:[DEZ]])</f>
        <v>408563.87</v>
      </c>
    </row>
    <row r="15" spans="2:15" x14ac:dyDescent="0.25">
      <c r="B15" s="1" t="s">
        <v>14</v>
      </c>
      <c r="C15" s="2">
        <v>23615.64</v>
      </c>
      <c r="D15" s="2">
        <v>17987.3</v>
      </c>
      <c r="E15" s="2">
        <v>33948.92</v>
      </c>
      <c r="F15" s="2">
        <v>37971.379999999997</v>
      </c>
      <c r="G15" s="2">
        <v>41120.6</v>
      </c>
      <c r="H15" s="2">
        <v>32964.25</v>
      </c>
      <c r="I15" s="2">
        <v>51255.24</v>
      </c>
      <c r="J15" s="2">
        <v>29049.26</v>
      </c>
      <c r="K15" s="2">
        <v>39484.699999999997</v>
      </c>
      <c r="L15" s="2">
        <v>40439.1</v>
      </c>
      <c r="M15" s="2">
        <v>40685.699999999997</v>
      </c>
      <c r="N15" s="2">
        <v>29319</v>
      </c>
      <c r="O15" s="2">
        <f>SUM(Tabela24[[#This Row],[JAN]:[DEZ]])</f>
        <v>417841.08999999997</v>
      </c>
    </row>
    <row r="16" spans="2:15" x14ac:dyDescent="0.25">
      <c r="B16" s="1" t="s">
        <v>16</v>
      </c>
      <c r="C16" s="2">
        <v>43454.9</v>
      </c>
      <c r="D16" s="2">
        <v>38249.5</v>
      </c>
      <c r="E16" s="2">
        <v>37362.35</v>
      </c>
      <c r="F16" s="2">
        <v>33493.5</v>
      </c>
      <c r="G16" s="2">
        <v>42973.08</v>
      </c>
      <c r="H16" s="2">
        <v>32429.5</v>
      </c>
      <c r="I16" s="2">
        <v>43005</v>
      </c>
      <c r="J16" s="2">
        <v>38451.15</v>
      </c>
      <c r="K16" s="2">
        <v>47789.5</v>
      </c>
      <c r="L16" s="2">
        <v>55581.48</v>
      </c>
      <c r="M16" s="2">
        <v>39735.68</v>
      </c>
      <c r="N16" s="2">
        <v>34894.5</v>
      </c>
      <c r="O16" s="2">
        <f>SUM(Tabela24[[#This Row],[JAN]:[DEZ]])</f>
        <v>487420.14</v>
      </c>
    </row>
    <row r="17" spans="2:15" x14ac:dyDescent="0.25">
      <c r="B17" s="1" t="s">
        <v>18</v>
      </c>
      <c r="C17" s="2">
        <v>14183.75</v>
      </c>
      <c r="D17" s="2">
        <v>36221.58</v>
      </c>
      <c r="E17" s="2">
        <v>27960.9</v>
      </c>
      <c r="F17" s="2">
        <v>36452.75</v>
      </c>
      <c r="G17" s="2">
        <v>47759.199999999997</v>
      </c>
      <c r="H17" s="2">
        <v>32263.81</v>
      </c>
      <c r="I17" s="2">
        <v>34866.93</v>
      </c>
      <c r="J17" s="2">
        <v>45668.25</v>
      </c>
      <c r="K17" s="2">
        <v>35512.18</v>
      </c>
      <c r="L17" s="2">
        <v>44706.1</v>
      </c>
      <c r="M17" s="2">
        <v>37693</v>
      </c>
      <c r="N17" s="2">
        <v>43067.8</v>
      </c>
      <c r="O17" s="2">
        <f>SUM(Tabela24[[#This Row],[JAN]:[DEZ]])</f>
        <v>436356.24999999994</v>
      </c>
    </row>
    <row r="18" spans="2:15" x14ac:dyDescent="0.25">
      <c r="B18" s="1" t="s">
        <v>22</v>
      </c>
      <c r="C18" s="2">
        <f>SUM(C13:C17)</f>
        <v>152276.89000000001</v>
      </c>
      <c r="D18" s="2">
        <f t="shared" ref="D18:N18" si="0">SUM(D13:D17)</f>
        <v>169035.26</v>
      </c>
      <c r="E18" s="2">
        <f>SUM(E13:E17)</f>
        <v>161212.57999999999</v>
      </c>
      <c r="F18" s="2">
        <f t="shared" si="0"/>
        <v>171355.72999999998</v>
      </c>
      <c r="G18" s="2">
        <f t="shared" si="0"/>
        <v>209082.58000000002</v>
      </c>
      <c r="H18" s="2">
        <f t="shared" si="0"/>
        <v>160363.05000000002</v>
      </c>
      <c r="I18" s="2">
        <f t="shared" si="0"/>
        <v>192673.3</v>
      </c>
      <c r="J18" s="2">
        <f t="shared" si="0"/>
        <v>195113.38</v>
      </c>
      <c r="K18" s="2">
        <f t="shared" si="0"/>
        <v>197657.27999999997</v>
      </c>
      <c r="L18" s="2">
        <f t="shared" si="0"/>
        <v>210010.96000000002</v>
      </c>
      <c r="M18" s="2">
        <f t="shared" si="0"/>
        <v>175980.38</v>
      </c>
      <c r="N18" s="2">
        <f t="shared" si="0"/>
        <v>168484.8</v>
      </c>
      <c r="O18" s="2">
        <f>SUM(Tabela24[[#This Row],[JAN]:[DEZ]])</f>
        <v>2163246.19</v>
      </c>
    </row>
    <row r="20" spans="2:15" ht="28.5" x14ac:dyDescent="0.45">
      <c r="B20" s="3"/>
      <c r="C20" s="4"/>
      <c r="D20" s="4"/>
      <c r="E20" s="4"/>
      <c r="F20" s="4"/>
      <c r="G20" s="4"/>
      <c r="H20" s="4"/>
      <c r="I20" s="5">
        <v>2025</v>
      </c>
      <c r="J20" s="4"/>
      <c r="K20" s="4"/>
      <c r="L20" s="4"/>
      <c r="M20" s="4"/>
      <c r="N20" s="8"/>
      <c r="O20" s="4"/>
    </row>
    <row r="21" spans="2:15" ht="15.75" thickBot="1" x14ac:dyDescent="0.3">
      <c r="B21" s="7" t="s">
        <v>12</v>
      </c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  <c r="J21" s="7" t="s">
        <v>7</v>
      </c>
      <c r="K21" s="7" t="s">
        <v>8</v>
      </c>
      <c r="L21" s="7" t="s">
        <v>9</v>
      </c>
      <c r="M21" s="7" t="s">
        <v>10</v>
      </c>
      <c r="N21" s="9" t="s">
        <v>11</v>
      </c>
      <c r="O21" s="7" t="s">
        <v>20</v>
      </c>
    </row>
    <row r="22" spans="2:15" x14ac:dyDescent="0.25">
      <c r="B22" s="6" t="s">
        <v>17</v>
      </c>
      <c r="C22" s="2">
        <v>37027</v>
      </c>
      <c r="D22" s="2">
        <v>31620.6</v>
      </c>
      <c r="E22" s="2">
        <v>31500.9</v>
      </c>
      <c r="F22" s="2">
        <f>SUM('FAT MENSAL CLIENTE 2025'!F52+'FAT MENSAL CLIENTE 2025'!F62+'FAT MENSAL LEB 2025'!F42+'FAT MENSAL LEB 2025'!F52)</f>
        <v>0</v>
      </c>
      <c r="G22" s="2">
        <f>SUM('FAT MENSAL CLIENTE 2025'!G62+'FAT MENSAL CLIENTE 2025'!G52+'FAT MENSAL LEB 2025'!G42+'FAT MENSAL LEB 2025'!G52)</f>
        <v>0</v>
      </c>
      <c r="H22" s="2">
        <f>SUM('FAT MENSAL CLIENTE 2025'!H52+'FAT MENSAL LEB 2025'!H42+'FAT MENSAL CLIENTE 2025'!H62+'FAT MENSAL LEB 2025'!H52)</f>
        <v>0</v>
      </c>
      <c r="I22" s="2">
        <f>SUM('FAT MENSAL CLIENTE 2025'!I52+'FAT MENSAL CLIENTE 2025'!I62+'FAT MENSAL LEB 2025'!I42+'FAT MENSAL LEB 2025'!I52)</f>
        <v>0</v>
      </c>
      <c r="J22" s="2">
        <f>SUM('FAT MENSAL CLIENTE 2025'!J52+'FAT MENSAL LEB 2025'!J42+'FAT MENSAL CLIENTE 2025'!J62+'FAT MENSAL LEB 2025'!J52)</f>
        <v>0</v>
      </c>
      <c r="K22" s="2">
        <f>SUM('FAT MENSAL CLIENTE 2025'!K52+'FAT MENSAL LEB 2025'!K42+'FAT MENSAL CLIENTE 2025'!K62+'FAT MENSAL LEB 2025'!K52)</f>
        <v>0</v>
      </c>
      <c r="L22" s="2">
        <f>SUM('FAT MENSAL CLIENTE 2025'!L52+'FAT MENSAL LEB 2025'!L42+'FAT MENSAL CLIENTE 2025'!L62+'FAT MENSAL LEB 2025'!L52)</f>
        <v>0</v>
      </c>
      <c r="M22" s="2">
        <f>SUM('FAT MENSAL CLIENTE 2025'!M52+'FAT MENSAL LEB 2025'!M42+'FAT MENSAL CLIENTE 2025'!M62+'FAT MENSAL LEB 2025'!M52)</f>
        <v>0</v>
      </c>
      <c r="N22" s="2">
        <f>SUM('FAT MENSAL CLIENTE 2025'!N52+'FAT MENSAL LEB 2025'!N42+'FAT MENSAL CLIENTE 2025'!N62+'FAT MENSAL LEB 2025'!N52)</f>
        <v>0</v>
      </c>
      <c r="O22" s="2">
        <f>SUM(Tabela4[[#This Row],[JAN]:[DEZ]])</f>
        <v>100148.5</v>
      </c>
    </row>
    <row r="23" spans="2:15" x14ac:dyDescent="0.25">
      <c r="B23" s="1" t="s">
        <v>15</v>
      </c>
      <c r="C23" s="2">
        <v>27463.9</v>
      </c>
      <c r="D23" s="2">
        <v>23559</v>
      </c>
      <c r="E23" s="2">
        <v>25716.799999999999</v>
      </c>
      <c r="F23" s="2">
        <f>SUM('FAT MENSAL CLIENTE 2025'!F53+'FAT MENSAL CLIENTE 2025'!F63+'FAT MENSAL LEB 2025'!F43+'FAT MENSAL LEB 2025'!F53)</f>
        <v>0</v>
      </c>
      <c r="G23" s="2">
        <f>SUM('FAT MENSAL CLIENTE 2025'!G63+'FAT MENSAL CLIENTE 2025'!G53+'FAT MENSAL LEB 2025'!G43+'FAT MENSAL LEB 2025'!G53)</f>
        <v>0</v>
      </c>
      <c r="H23" s="2">
        <f>SUM('FAT MENSAL CLIENTE 2025'!H53+'FAT MENSAL LEB 2025'!H43+'FAT MENSAL CLIENTE 2025'!H63+'FAT MENSAL LEB 2025'!H53)</f>
        <v>0</v>
      </c>
      <c r="I23" s="2">
        <f>SUM('FAT MENSAL CLIENTE 2025'!I53+'FAT MENSAL CLIENTE 2025'!I63+'FAT MENSAL LEB 2025'!I43+'FAT MENSAL LEB 2025'!I53)</f>
        <v>0</v>
      </c>
      <c r="J23" s="2">
        <f>SUM('FAT MENSAL CLIENTE 2025'!J53+'FAT MENSAL LEB 2025'!J43+'FAT MENSAL CLIENTE 2025'!J63+'FAT MENSAL LEB 2025'!J53)</f>
        <v>0</v>
      </c>
      <c r="K23" s="2">
        <f>SUM('FAT MENSAL CLIENTE 2025'!K53+'FAT MENSAL LEB 2025'!K43+'FAT MENSAL CLIENTE 2025'!K63+'FAT MENSAL LEB 2025'!K53)</f>
        <v>0</v>
      </c>
      <c r="L23" s="2">
        <f>SUM('FAT MENSAL CLIENTE 2025'!L53+'FAT MENSAL LEB 2025'!L43+'FAT MENSAL CLIENTE 2025'!L63+'FAT MENSAL LEB 2025'!L53)</f>
        <v>0</v>
      </c>
      <c r="M23" s="2">
        <f>SUM('FAT MENSAL CLIENTE 2025'!M53+'FAT MENSAL LEB 2025'!M43+'FAT MENSAL CLIENTE 2025'!M63+'FAT MENSAL LEB 2025'!M53)</f>
        <v>0</v>
      </c>
      <c r="N23" s="2">
        <f>SUM('FAT MENSAL CLIENTE 2025'!N53+'FAT MENSAL LEB 2025'!N43+'FAT MENSAL CLIENTE 2025'!N63+'FAT MENSAL LEB 2025'!N53)</f>
        <v>0</v>
      </c>
      <c r="O23" s="2">
        <f>SUM(Tabela4[[#This Row],[JAN]:[DEZ]])</f>
        <v>76739.7</v>
      </c>
    </row>
    <row r="24" spans="2:15" x14ac:dyDescent="0.25">
      <c r="B24" s="6" t="s">
        <v>14</v>
      </c>
      <c r="C24" s="2">
        <v>30431</v>
      </c>
      <c r="D24" s="2">
        <v>35621.9</v>
      </c>
      <c r="E24" s="2">
        <v>33157</v>
      </c>
      <c r="F24" s="2">
        <f>SUM('FAT MENSAL CLIENTE 2025'!F54+'FAT MENSAL CLIENTE 2025'!F64+'FAT MENSAL LEB 2025'!F44+'FAT MENSAL LEB 2025'!F54)</f>
        <v>0</v>
      </c>
      <c r="G24" s="2">
        <f>SUM('FAT MENSAL CLIENTE 2025'!G64+'FAT MENSAL CLIENTE 2025'!G54+'FAT MENSAL LEB 2025'!G44+'FAT MENSAL LEB 2025'!G54)</f>
        <v>0</v>
      </c>
      <c r="H24" s="2">
        <f>SUM('FAT MENSAL CLIENTE 2025'!H54+'FAT MENSAL LEB 2025'!H44+'FAT MENSAL CLIENTE 2025'!H64+'FAT MENSAL LEB 2025'!H54)</f>
        <v>0</v>
      </c>
      <c r="I24" s="2">
        <f>SUM('FAT MENSAL CLIENTE 2025'!I54+'FAT MENSAL CLIENTE 2025'!I64+'FAT MENSAL LEB 2025'!I44+'FAT MENSAL LEB 2025'!I54)</f>
        <v>0</v>
      </c>
      <c r="J24" s="2">
        <f>SUM('FAT MENSAL CLIENTE 2025'!J54+'FAT MENSAL LEB 2025'!J44+'FAT MENSAL CLIENTE 2025'!J64+'FAT MENSAL LEB 2025'!J54)</f>
        <v>0</v>
      </c>
      <c r="K24" s="2">
        <f>SUM('FAT MENSAL CLIENTE 2025'!K54+'FAT MENSAL LEB 2025'!K44+'FAT MENSAL CLIENTE 2025'!K64+'FAT MENSAL LEB 2025'!K54)</f>
        <v>0</v>
      </c>
      <c r="L24" s="2">
        <f>SUM('FAT MENSAL CLIENTE 2025'!L54+'FAT MENSAL LEB 2025'!L44+'FAT MENSAL CLIENTE 2025'!L64+'FAT MENSAL LEB 2025'!L54)</f>
        <v>0</v>
      </c>
      <c r="M24" s="2">
        <f>SUM('FAT MENSAL CLIENTE 2025'!M54+'FAT MENSAL LEB 2025'!M44+'FAT MENSAL CLIENTE 2025'!M64+'FAT MENSAL LEB 2025'!M54)</f>
        <v>0</v>
      </c>
      <c r="N24" s="2">
        <f>SUM('FAT MENSAL CLIENTE 2025'!N54+'FAT MENSAL LEB 2025'!N44+'FAT MENSAL CLIENTE 2025'!N64+'FAT MENSAL LEB 2025'!N54)</f>
        <v>0</v>
      </c>
      <c r="O24" s="2">
        <f>SUM(Tabela4[[#This Row],[JAN]:[DEZ]])</f>
        <v>99209.9</v>
      </c>
    </row>
    <row r="25" spans="2:15" x14ac:dyDescent="0.25">
      <c r="B25" s="1" t="s">
        <v>16</v>
      </c>
      <c r="C25" s="2">
        <v>24080.799999999999</v>
      </c>
      <c r="D25" s="2">
        <v>46738.18</v>
      </c>
      <c r="E25" s="2">
        <v>26836.2</v>
      </c>
      <c r="F25" s="2">
        <f>SUM('FAT MENSAL CLIENTE 2025'!F55+'FAT MENSAL CLIENTE 2025'!F65+'FAT MENSAL LEB 2025'!F45+'FAT MENSAL LEB 2025'!F55)</f>
        <v>0</v>
      </c>
      <c r="G25" s="2">
        <f>SUM('FAT MENSAL CLIENTE 2025'!G65+'FAT MENSAL CLIENTE 2025'!G55+'FAT MENSAL LEB 2025'!G45+'FAT MENSAL LEB 2025'!G55)</f>
        <v>0</v>
      </c>
      <c r="H25" s="2">
        <f>SUM('FAT MENSAL CLIENTE 2025'!H55+'FAT MENSAL LEB 2025'!H45+'FAT MENSAL CLIENTE 2025'!H65+'FAT MENSAL LEB 2025'!H55)</f>
        <v>0</v>
      </c>
      <c r="I25" s="2">
        <f>SUM('FAT MENSAL CLIENTE 2025'!I55+'FAT MENSAL CLIENTE 2025'!I65+'FAT MENSAL LEB 2025'!I45+'FAT MENSAL LEB 2025'!I55)</f>
        <v>0</v>
      </c>
      <c r="J25" s="2">
        <f>SUM('FAT MENSAL CLIENTE 2025'!J55+'FAT MENSAL LEB 2025'!J45+'FAT MENSAL CLIENTE 2025'!J65+'FAT MENSAL LEB 2025'!J55)</f>
        <v>0</v>
      </c>
      <c r="K25" s="2">
        <f>SUM('FAT MENSAL CLIENTE 2025'!K55+'FAT MENSAL LEB 2025'!K45+'FAT MENSAL CLIENTE 2025'!K65+'FAT MENSAL LEB 2025'!K55)</f>
        <v>0</v>
      </c>
      <c r="L25" s="2">
        <f>SUM('FAT MENSAL CLIENTE 2025'!L55+'FAT MENSAL LEB 2025'!L45+'FAT MENSAL CLIENTE 2025'!L65+'FAT MENSAL LEB 2025'!L55)</f>
        <v>0</v>
      </c>
      <c r="M25" s="2">
        <f>SUM('FAT MENSAL CLIENTE 2025'!M55+'FAT MENSAL LEB 2025'!M45+'FAT MENSAL CLIENTE 2025'!M65+'FAT MENSAL LEB 2025'!M55)</f>
        <v>0</v>
      </c>
      <c r="N25" s="2">
        <f>SUM('FAT MENSAL CLIENTE 2025'!N55+'FAT MENSAL LEB 2025'!N45+'FAT MENSAL CLIENTE 2025'!N65+'FAT MENSAL LEB 2025'!N55)</f>
        <v>0</v>
      </c>
      <c r="O25" s="2">
        <f>SUM(Tabela4[[#This Row],[JAN]:[DEZ]])</f>
        <v>97655.18</v>
      </c>
    </row>
    <row r="26" spans="2:15" x14ac:dyDescent="0.25">
      <c r="B26" s="6" t="s">
        <v>18</v>
      </c>
      <c r="C26" s="2">
        <v>28394.9</v>
      </c>
      <c r="D26" s="2">
        <v>44982.8</v>
      </c>
      <c r="E26" s="2">
        <v>37976.58</v>
      </c>
      <c r="F26" s="2">
        <f>SUM('FAT MENSAL CLIENTE 2025'!F56+'FAT MENSAL CLIENTE 2025'!F66+'FAT MENSAL LEB 2025'!F46+'FAT MENSAL LEB 2025'!F56)</f>
        <v>0</v>
      </c>
      <c r="G26" s="2">
        <f>SUM('FAT MENSAL CLIENTE 2025'!G66+'FAT MENSAL CLIENTE 2025'!G56+'FAT MENSAL LEB 2025'!G46+'FAT MENSAL LEB 2025'!G56)</f>
        <v>0</v>
      </c>
      <c r="H26" s="2">
        <f>SUM('FAT MENSAL CLIENTE 2025'!H56+'FAT MENSAL LEB 2025'!H46+'FAT MENSAL CLIENTE 2025'!H66+'FAT MENSAL LEB 2025'!H56)</f>
        <v>0</v>
      </c>
      <c r="I26" s="2">
        <f>SUM('FAT MENSAL CLIENTE 2025'!I56+'FAT MENSAL CLIENTE 2025'!I66+'FAT MENSAL LEB 2025'!I46+'FAT MENSAL LEB 2025'!I56)</f>
        <v>0</v>
      </c>
      <c r="J26" s="2">
        <f>SUM('FAT MENSAL CLIENTE 2025'!J56+'FAT MENSAL LEB 2025'!J46+'FAT MENSAL CLIENTE 2025'!J66+'FAT MENSAL LEB 2025'!J56)</f>
        <v>0</v>
      </c>
      <c r="K26" s="2">
        <f>SUM('FAT MENSAL CLIENTE 2025'!K56+'FAT MENSAL LEB 2025'!K46+'FAT MENSAL CLIENTE 2025'!K66+'FAT MENSAL LEB 2025'!K56)</f>
        <v>0</v>
      </c>
      <c r="L26" s="2">
        <f>SUM('FAT MENSAL CLIENTE 2025'!L56+'FAT MENSAL LEB 2025'!L46+'FAT MENSAL CLIENTE 2025'!L66+'FAT MENSAL LEB 2025'!L56)</f>
        <v>0</v>
      </c>
      <c r="M26" s="2">
        <f>SUM('FAT MENSAL CLIENTE 2025'!M56+'FAT MENSAL LEB 2025'!M46+'FAT MENSAL CLIENTE 2025'!M66+'FAT MENSAL LEB 2025'!M56)</f>
        <v>0</v>
      </c>
      <c r="N26" s="2">
        <f>SUM('FAT MENSAL CLIENTE 2025'!N56+'FAT MENSAL LEB 2025'!N46+'FAT MENSAL CLIENTE 2025'!N66+'FAT MENSAL LEB 2025'!N56)</f>
        <v>0</v>
      </c>
      <c r="O26" s="2">
        <f>SUM(Tabela4[[#This Row],[JAN]:[DEZ]])</f>
        <v>111354.28000000001</v>
      </c>
    </row>
    <row r="27" spans="2:15" x14ac:dyDescent="0.25">
      <c r="B27" s="1" t="s">
        <v>22</v>
      </c>
      <c r="C27" s="2">
        <f t="shared" ref="C27:N27" si="1">SUM(C22:C26)</f>
        <v>147397.6</v>
      </c>
      <c r="D27" s="2">
        <f t="shared" si="1"/>
        <v>182522.47999999998</v>
      </c>
      <c r="E27" s="2">
        <f t="shared" si="1"/>
        <v>155187.47999999998</v>
      </c>
      <c r="F27" s="2">
        <f t="shared" si="1"/>
        <v>0</v>
      </c>
      <c r="G27" s="2">
        <f>SUM('FAT MENSAL CLIENTE 2025'!G67+'FAT MENSAL CLIENTE 2025'!G57+'FAT MENSAL LEB 2025'!G47+'FAT MENSAL LEB 2025'!G57)</f>
        <v>0</v>
      </c>
      <c r="H27" s="2">
        <f t="shared" si="1"/>
        <v>0</v>
      </c>
      <c r="I27" s="2">
        <f>SUM('FAT MENSAL CLIENTE 2025'!I57+'FAT MENSAL CLIENTE 2025'!I67+'FAT MENSAL LEB 2025'!I47+'FAT MENSAL LEB 2025'!I57)</f>
        <v>0</v>
      </c>
      <c r="J27" s="2">
        <f t="shared" si="1"/>
        <v>0</v>
      </c>
      <c r="K27" s="2">
        <f t="shared" si="1"/>
        <v>0</v>
      </c>
      <c r="L27" s="2">
        <f t="shared" si="1"/>
        <v>0</v>
      </c>
      <c r="M27" s="2">
        <f t="shared" si="1"/>
        <v>0</v>
      </c>
      <c r="N27" s="2">
        <f t="shared" si="1"/>
        <v>0</v>
      </c>
      <c r="O27" s="2">
        <f>SUM(Tabela4[[#This Row],[JAN]:[DEZ]])</f>
        <v>485107.55999999994</v>
      </c>
    </row>
    <row r="29" spans="2:15" ht="28.5" x14ac:dyDescent="0.45">
      <c r="B29" s="3"/>
      <c r="C29" s="4"/>
      <c r="D29" s="4"/>
      <c r="E29" s="4"/>
      <c r="F29" s="4"/>
      <c r="G29" s="4"/>
      <c r="H29" s="4"/>
      <c r="I29" s="5">
        <v>2026</v>
      </c>
      <c r="J29" s="4"/>
      <c r="K29" s="4"/>
      <c r="L29" s="4"/>
      <c r="M29" s="4"/>
      <c r="N29" s="8"/>
      <c r="O29" s="4"/>
    </row>
    <row r="30" spans="2:15" ht="15.75" thickBot="1" x14ac:dyDescent="0.3">
      <c r="B30" s="7" t="s">
        <v>12</v>
      </c>
      <c r="C30" s="7" t="s">
        <v>0</v>
      </c>
      <c r="D30" s="7" t="s">
        <v>1</v>
      </c>
      <c r="E30" s="7" t="s">
        <v>2</v>
      </c>
      <c r="F30" s="7" t="s">
        <v>3</v>
      </c>
      <c r="G30" s="7" t="s">
        <v>4</v>
      </c>
      <c r="H30" s="7" t="s">
        <v>5</v>
      </c>
      <c r="I30" s="7" t="s">
        <v>6</v>
      </c>
      <c r="J30" s="7" t="s">
        <v>7</v>
      </c>
      <c r="K30" s="7" t="s">
        <v>8</v>
      </c>
      <c r="L30" s="7" t="s">
        <v>9</v>
      </c>
      <c r="M30" s="7" t="s">
        <v>10</v>
      </c>
      <c r="N30" s="9" t="s">
        <v>11</v>
      </c>
      <c r="O30" s="7" t="s">
        <v>20</v>
      </c>
    </row>
    <row r="31" spans="2:15" x14ac:dyDescent="0.25">
      <c r="B31" s="6" t="s">
        <v>17</v>
      </c>
      <c r="C31" s="2">
        <f>SUM('FAT MENSAL CLIENTE 2026'!C52+'FAT MENSAL LEB 2026'!C42+'FAT MENSAL CLIENTE 2026'!C62+'FAT MENSAL LEB 2026'!C52)</f>
        <v>0</v>
      </c>
      <c r="D31" s="2">
        <f>SUM('FAT MENSAL CLIENTE 2026'!D52+'FAT MENSAL LEB 2026'!D42+'FAT MENSAL CLIENTE 2026'!D62+'FAT MENSAL LEB 2026'!D52)</f>
        <v>0</v>
      </c>
      <c r="E31" s="2">
        <f>SUM('FAT MENSAL CLIENTE 2026'!E52+'FAT MENSAL LEB 2026'!E42+'FAT MENSAL CLIENTE 2026'!E62+'FAT MENSAL LEB 2026'!E52)</f>
        <v>0</v>
      </c>
      <c r="F31" s="2">
        <f>SUM('FAT MENSAL CLIENTE 2026'!F52+'FAT MENSAL LEB 2026'!F42+'FAT MENSAL CLIENTE 2026'!F62+'FAT MENSAL LEB 2026'!F52)</f>
        <v>0</v>
      </c>
      <c r="G31" s="2">
        <f>SUM('FAT MENSAL CLIENTE 2026'!G52+'FAT MENSAL LEB 2026'!G42+'FAT MENSAL CLIENTE 2026'!G62+'FAT MENSAL LEB 2026'!G52)</f>
        <v>0</v>
      </c>
      <c r="H31" s="2">
        <v>0</v>
      </c>
      <c r="I31" s="2">
        <v>0</v>
      </c>
      <c r="J31" s="2">
        <v>0</v>
      </c>
      <c r="K31" s="2">
        <f>SUM('FAT MENSAL CLIENTE 2026'!K52+'FAT MENSAL LEB 2026'!K42+'FAT MENSAL CLIENTE 2026'!K62+'FAT MENSAL LEB 2026'!K52)</f>
        <v>0</v>
      </c>
      <c r="L31" s="2">
        <f>SUM('FAT MENSAL CLIENTE 2026'!L52+'FAT MENSAL LEB 2026'!L42+'FAT MENSAL CLIENTE 2026'!L62+'FAT MENSAL LEB 2026'!L52)</f>
        <v>0</v>
      </c>
      <c r="M31" s="2">
        <f>SUM('FAT MENSAL CLIENTE 2026'!M52+'FAT MENSAL LEB 2026'!M42+'FAT MENSAL CLIENTE 2026'!M62+'FAT MENSAL LEB 2026'!M52)</f>
        <v>0</v>
      </c>
      <c r="N31" s="2">
        <f>SUM('FAT MENSAL CLIENTE 2026'!N52+'FAT MENSAL LEB 2026'!N42+'FAT MENSAL CLIENTE 2026'!N62+'FAT MENSAL LEB 2026'!N52)</f>
        <v>0</v>
      </c>
      <c r="O31" s="14">
        <f>SUM(Tabela410[[#This Row],[JAN]:[DEZ]])</f>
        <v>0</v>
      </c>
    </row>
    <row r="32" spans="2:15" x14ac:dyDescent="0.25">
      <c r="B32" s="1" t="s">
        <v>15</v>
      </c>
      <c r="C32" s="2">
        <f>SUM('FAT MENSAL CLIENTE 2026'!C53+'FAT MENSAL LEB 2026'!C43+'FAT MENSAL CLIENTE 2026'!C63+'FAT MENSAL LEB 2026'!C53)</f>
        <v>0</v>
      </c>
      <c r="D32" s="2">
        <f>SUM('FAT MENSAL CLIENTE 2026'!D53+'FAT MENSAL LEB 2026'!D43+'FAT MENSAL CLIENTE 2026'!D63+'FAT MENSAL LEB 2026'!D53)</f>
        <v>0</v>
      </c>
      <c r="E32" s="2">
        <f>SUM('FAT MENSAL CLIENTE 2026'!E53+'FAT MENSAL LEB 2026'!E43+'FAT MENSAL CLIENTE 2026'!E63+'FAT MENSAL LEB 2026'!E53)</f>
        <v>0</v>
      </c>
      <c r="F32" s="2">
        <f>SUM('FAT MENSAL CLIENTE 2026'!F53+'FAT MENSAL LEB 2026'!F43+'FAT MENSAL CLIENTE 2026'!F63+'FAT MENSAL LEB 2026'!F53)</f>
        <v>0</v>
      </c>
      <c r="G32" s="2">
        <f>SUM('FAT MENSAL CLIENTE 2026'!G53+'FAT MENSAL LEB 2026'!G43+'FAT MENSAL CLIENTE 2026'!G63+'FAT MENSAL LEB 2026'!G53)</f>
        <v>0</v>
      </c>
      <c r="H32" s="2">
        <f>SUM('FAT MENSAL CLIENTE 2026'!H53+'FAT MENSAL LEB 2026'!H43+'FAT MENSAL CLIENTE 2026'!H63+'FAT MENSAL LEB 2026'!H53)</f>
        <v>0</v>
      </c>
      <c r="I32" s="2">
        <f>SUM('FAT MENSAL CLIENTE 2026'!I53+'FAT MENSAL LEB 2026'!I43+'FAT MENSAL CLIENTE 2026'!I63+'FAT MENSAL LEB 2026'!I53)</f>
        <v>0</v>
      </c>
      <c r="J32" s="2">
        <f>SUM('FAT MENSAL CLIENTE 2026'!J53+'FAT MENSAL LEB 2026'!J43+'FAT MENSAL CLIENTE 2026'!J63+'FAT MENSAL LEB 2026'!J53)</f>
        <v>0</v>
      </c>
      <c r="K32" s="2">
        <f>SUM('FAT MENSAL CLIENTE 2026'!K53+'FAT MENSAL LEB 2026'!K43+'FAT MENSAL CLIENTE 2026'!K63+'FAT MENSAL LEB 2026'!K53)</f>
        <v>0</v>
      </c>
      <c r="L32" s="2">
        <f>SUM('FAT MENSAL CLIENTE 2026'!L53+'FAT MENSAL LEB 2026'!L43+'FAT MENSAL CLIENTE 2026'!L63+'FAT MENSAL LEB 2026'!L53)</f>
        <v>0</v>
      </c>
      <c r="M32" s="2">
        <f>SUM('FAT MENSAL CLIENTE 2026'!M53+'FAT MENSAL LEB 2026'!M43+'FAT MENSAL CLIENTE 2026'!M63+'FAT MENSAL LEB 2026'!M53)</f>
        <v>0</v>
      </c>
      <c r="N32" s="2">
        <f>SUM('FAT MENSAL CLIENTE 2026'!N53+'FAT MENSAL LEB 2026'!N43+'FAT MENSAL CLIENTE 2026'!N63+'FAT MENSAL LEB 2026'!N53)</f>
        <v>0</v>
      </c>
      <c r="O32" s="14">
        <f>SUM(Tabela410[[#This Row],[JAN]:[DEZ]])</f>
        <v>0</v>
      </c>
    </row>
    <row r="33" spans="2:15" x14ac:dyDescent="0.25">
      <c r="B33" s="6" t="s">
        <v>14</v>
      </c>
      <c r="C33" s="2">
        <f>SUM('FAT MENSAL CLIENTE 2026'!C54+'FAT MENSAL LEB 2026'!C44+'FAT MENSAL CLIENTE 2026'!C64+'FAT MENSAL LEB 2026'!C54)</f>
        <v>0</v>
      </c>
      <c r="D33" s="2">
        <f>SUM('FAT MENSAL CLIENTE 2026'!D54+'FAT MENSAL LEB 2026'!D44+'FAT MENSAL CLIENTE 2026'!D64+'FAT MENSAL LEB 2026'!D54)</f>
        <v>0</v>
      </c>
      <c r="E33" s="2">
        <f>SUM('FAT MENSAL CLIENTE 2026'!E54+'FAT MENSAL LEB 2026'!E44+'FAT MENSAL CLIENTE 2026'!E64+'FAT MENSAL LEB 2026'!E54)</f>
        <v>0</v>
      </c>
      <c r="F33" s="2">
        <f>SUM('FAT MENSAL CLIENTE 2026'!F54+'FAT MENSAL LEB 2026'!F44+'FAT MENSAL CLIENTE 2026'!F64+'FAT MENSAL LEB 2026'!F54)</f>
        <v>0</v>
      </c>
      <c r="G33" s="2">
        <f>SUM('FAT MENSAL CLIENTE 2026'!G54+'FAT MENSAL LEB 2026'!G44+'FAT MENSAL CLIENTE 2026'!G64+'FAT MENSAL LEB 2026'!G54)</f>
        <v>0</v>
      </c>
      <c r="H33" s="2">
        <f>SUM('FAT MENSAL CLIENTE 2026'!H54+'FAT MENSAL LEB 2026'!H44+'FAT MENSAL CLIENTE 2026'!H64+'FAT MENSAL LEB 2026'!H54)</f>
        <v>0</v>
      </c>
      <c r="I33" s="2">
        <f>SUM('FAT MENSAL CLIENTE 2026'!I54+'FAT MENSAL LEB 2026'!I44+'FAT MENSAL CLIENTE 2026'!I64+'FAT MENSAL LEB 2026'!I54)</f>
        <v>0</v>
      </c>
      <c r="J33" s="2">
        <f>SUM('FAT MENSAL CLIENTE 2026'!J54+'FAT MENSAL LEB 2026'!J44+'FAT MENSAL CLIENTE 2026'!J64+'FAT MENSAL LEB 2026'!J54)</f>
        <v>0</v>
      </c>
      <c r="K33" s="2">
        <f>SUM('FAT MENSAL CLIENTE 2026'!K54+'FAT MENSAL LEB 2026'!K44+'FAT MENSAL CLIENTE 2026'!K64+'FAT MENSAL LEB 2026'!K54)</f>
        <v>0</v>
      </c>
      <c r="L33" s="2">
        <f>SUM('FAT MENSAL CLIENTE 2026'!L54+'FAT MENSAL LEB 2026'!L44+'FAT MENSAL CLIENTE 2026'!L64+'FAT MENSAL LEB 2026'!L54)</f>
        <v>0</v>
      </c>
      <c r="M33" s="2">
        <f>SUM('FAT MENSAL CLIENTE 2026'!M54+'FAT MENSAL LEB 2026'!M44+'FAT MENSAL CLIENTE 2026'!M64+'FAT MENSAL LEB 2026'!M54)</f>
        <v>0</v>
      </c>
      <c r="N33" s="2">
        <f>SUM('FAT MENSAL CLIENTE 2026'!N54+'FAT MENSAL LEB 2026'!N44+'FAT MENSAL CLIENTE 2026'!N64+'FAT MENSAL LEB 2026'!N54)</f>
        <v>0</v>
      </c>
      <c r="O33" s="14">
        <f>SUM(Tabela410[[#This Row],[JAN]:[DEZ]])</f>
        <v>0</v>
      </c>
    </row>
    <row r="34" spans="2:15" x14ac:dyDescent="0.25">
      <c r="B34" s="1" t="s">
        <v>16</v>
      </c>
      <c r="C34" s="2">
        <f>SUM('FAT MENSAL CLIENTE 2026'!C55+'FAT MENSAL LEB 2026'!C45+'FAT MENSAL CLIENTE 2026'!C65+'FAT MENSAL LEB 2026'!C55)</f>
        <v>0</v>
      </c>
      <c r="D34" s="2">
        <f>SUM('FAT MENSAL CLIENTE 2026'!D55+'FAT MENSAL LEB 2026'!D45+'FAT MENSAL CLIENTE 2026'!D65+'FAT MENSAL LEB 2026'!D55)</f>
        <v>0</v>
      </c>
      <c r="E34" s="2">
        <f>SUM('FAT MENSAL CLIENTE 2026'!E55+'FAT MENSAL LEB 2026'!E45+'FAT MENSAL CLIENTE 2026'!E65+'FAT MENSAL LEB 2026'!E55)</f>
        <v>0</v>
      </c>
      <c r="F34" s="2">
        <f>SUM('FAT MENSAL CLIENTE 2026'!F55+'FAT MENSAL LEB 2026'!F45+'FAT MENSAL CLIENTE 2026'!F65+'FAT MENSAL LEB 2026'!F55)</f>
        <v>0</v>
      </c>
      <c r="G34" s="2">
        <f>SUM('FAT MENSAL CLIENTE 2026'!G55+'FAT MENSAL LEB 2026'!G45+'FAT MENSAL CLIENTE 2026'!G65+'FAT MENSAL LEB 2026'!G55)</f>
        <v>0</v>
      </c>
      <c r="H34" s="2">
        <f>SUM('FAT MENSAL CLIENTE 2026'!H55+'FAT MENSAL LEB 2026'!H45+'FAT MENSAL CLIENTE 2026'!H65+'FAT MENSAL LEB 2026'!H55)</f>
        <v>0</v>
      </c>
      <c r="I34" s="2">
        <f>SUM('FAT MENSAL CLIENTE 2026'!I55+'FAT MENSAL LEB 2026'!I45+'FAT MENSAL CLIENTE 2026'!I65+'FAT MENSAL LEB 2026'!I55)</f>
        <v>0</v>
      </c>
      <c r="J34" s="2">
        <f>SUM('FAT MENSAL CLIENTE 2026'!J55+'FAT MENSAL LEB 2026'!J45+'FAT MENSAL CLIENTE 2026'!J65+'FAT MENSAL LEB 2026'!J55)</f>
        <v>0</v>
      </c>
      <c r="K34" s="2">
        <f>SUM('FAT MENSAL CLIENTE 2026'!K55+'FAT MENSAL LEB 2026'!K45+'FAT MENSAL CLIENTE 2026'!K65+'FAT MENSAL LEB 2026'!K55)</f>
        <v>0</v>
      </c>
      <c r="L34" s="2">
        <f>SUM('FAT MENSAL CLIENTE 2026'!L55+'FAT MENSAL LEB 2026'!L45+'FAT MENSAL CLIENTE 2026'!L65+'FAT MENSAL LEB 2026'!L55)</f>
        <v>0</v>
      </c>
      <c r="M34" s="2">
        <f>SUM('FAT MENSAL CLIENTE 2026'!M55+'FAT MENSAL LEB 2026'!M45+'FAT MENSAL CLIENTE 2026'!M65+'FAT MENSAL LEB 2026'!M55)</f>
        <v>0</v>
      </c>
      <c r="N34" s="2">
        <f>SUM('FAT MENSAL CLIENTE 2026'!N55+'FAT MENSAL LEB 2026'!N45+'FAT MENSAL CLIENTE 2026'!N65+'FAT MENSAL LEB 2026'!N55)</f>
        <v>0</v>
      </c>
      <c r="O34" s="14">
        <f>SUM(Tabela410[[#This Row],[JAN]:[DEZ]])</f>
        <v>0</v>
      </c>
    </row>
    <row r="35" spans="2:15" x14ac:dyDescent="0.25">
      <c r="B35" s="6" t="s">
        <v>18</v>
      </c>
      <c r="C35" s="2">
        <f>SUM('FAT MENSAL CLIENTE 2026'!C56+'FAT MENSAL LEB 2026'!C46+'FAT MENSAL CLIENTE 2026'!C66+'FAT MENSAL LEB 2026'!C56)</f>
        <v>0</v>
      </c>
      <c r="D35" s="2">
        <f>SUM('FAT MENSAL CLIENTE 2026'!D56+'FAT MENSAL LEB 2026'!D46+'FAT MENSAL CLIENTE 2026'!D66+'FAT MENSAL LEB 2026'!D56)</f>
        <v>0</v>
      </c>
      <c r="E35" s="2">
        <f>SUM('FAT MENSAL CLIENTE 2026'!E56+'FAT MENSAL LEB 2026'!E46+'FAT MENSAL CLIENTE 2026'!E66+'FAT MENSAL LEB 2026'!E56)</f>
        <v>0</v>
      </c>
      <c r="F35" s="2">
        <f>SUM('FAT MENSAL CLIENTE 2026'!F56+'FAT MENSAL LEB 2026'!F46+'FAT MENSAL CLIENTE 2026'!F66+'FAT MENSAL LEB 2026'!F56)</f>
        <v>0</v>
      </c>
      <c r="G35" s="2">
        <f>SUM('FAT MENSAL CLIENTE 2026'!G56+'FAT MENSAL LEB 2026'!G46+'FAT MENSAL CLIENTE 2026'!G66+'FAT MENSAL LEB 2026'!G56)</f>
        <v>0</v>
      </c>
      <c r="H35" s="2">
        <f>SUM('FAT MENSAL CLIENTE 2026'!H56+'FAT MENSAL LEB 2026'!H46+'FAT MENSAL CLIENTE 2026'!H66+'FAT MENSAL LEB 2026'!H56)</f>
        <v>0</v>
      </c>
      <c r="I35" s="2">
        <f>SUM('FAT MENSAL CLIENTE 2026'!I56+'FAT MENSAL LEB 2026'!I46+'FAT MENSAL CLIENTE 2026'!I66+'FAT MENSAL LEB 2026'!I56)</f>
        <v>0</v>
      </c>
      <c r="J35" s="2">
        <f>SUM('FAT MENSAL CLIENTE 2026'!J56+'FAT MENSAL LEB 2026'!J46+'FAT MENSAL CLIENTE 2026'!J66+'FAT MENSAL LEB 2026'!J56)</f>
        <v>0</v>
      </c>
      <c r="K35" s="2">
        <f>SUM('FAT MENSAL CLIENTE 2026'!K56+'FAT MENSAL LEB 2026'!K46+'FAT MENSAL CLIENTE 2026'!K66+'FAT MENSAL LEB 2026'!K56)</f>
        <v>0</v>
      </c>
      <c r="L35" s="2">
        <f>SUM('FAT MENSAL CLIENTE 2026'!L56+'FAT MENSAL LEB 2026'!L46+'FAT MENSAL CLIENTE 2026'!L66+'FAT MENSAL LEB 2026'!L56)</f>
        <v>0</v>
      </c>
      <c r="M35" s="2">
        <f>SUM('FAT MENSAL CLIENTE 2026'!M56+'FAT MENSAL LEB 2026'!M46+'FAT MENSAL CLIENTE 2026'!M66+'FAT MENSAL LEB 2026'!M56)</f>
        <v>0</v>
      </c>
      <c r="N35" s="2">
        <f>SUM('FAT MENSAL CLIENTE 2026'!N56+'FAT MENSAL LEB 2026'!N46+'FAT MENSAL CLIENTE 2026'!N66+'FAT MENSAL LEB 2026'!N56)</f>
        <v>0</v>
      </c>
      <c r="O35" s="14">
        <f>SUM(Tabela410[[#This Row],[JAN]:[DEZ]])</f>
        <v>0</v>
      </c>
    </row>
    <row r="36" spans="2:15" x14ac:dyDescent="0.25">
      <c r="B36" s="1" t="s">
        <v>22</v>
      </c>
      <c r="C36" s="14">
        <f>C31+C32+C33+C34+C35</f>
        <v>0</v>
      </c>
      <c r="D36" s="14">
        <f t="shared" ref="D36:O36" si="2">D31+D32+D33+D34+D35</f>
        <v>0</v>
      </c>
      <c r="E36" s="14">
        <f t="shared" si="2"/>
        <v>0</v>
      </c>
      <c r="F36" s="14">
        <f t="shared" si="2"/>
        <v>0</v>
      </c>
      <c r="G36" s="14">
        <f t="shared" si="2"/>
        <v>0</v>
      </c>
      <c r="H36" s="14">
        <f t="shared" si="2"/>
        <v>0</v>
      </c>
      <c r="I36" s="14">
        <f t="shared" si="2"/>
        <v>0</v>
      </c>
      <c r="J36" s="14">
        <f t="shared" si="2"/>
        <v>0</v>
      </c>
      <c r="K36" s="14">
        <f t="shared" si="2"/>
        <v>0</v>
      </c>
      <c r="L36" s="14">
        <f t="shared" si="2"/>
        <v>0</v>
      </c>
      <c r="M36" s="14">
        <f t="shared" si="2"/>
        <v>0</v>
      </c>
      <c r="N36" s="14">
        <f t="shared" si="2"/>
        <v>0</v>
      </c>
      <c r="O36" s="14">
        <f t="shared" si="2"/>
        <v>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8083-D2D7-40D1-899B-3CE2E30A5D2E}">
  <sheetPr>
    <tabColor rgb="FF92D050"/>
  </sheetPr>
  <dimension ref="A49:O69"/>
  <sheetViews>
    <sheetView topLeftCell="A46" zoomScale="90" zoomScaleNormal="90" workbookViewId="0">
      <selection activeCell="C62" sqref="C62:I66"/>
    </sheetView>
  </sheetViews>
  <sheetFormatPr defaultColWidth="9.28515625" defaultRowHeight="15" x14ac:dyDescent="0.25"/>
  <cols>
    <col min="1" max="1" width="12" bestFit="1" customWidth="1"/>
    <col min="2" max="2" width="20.42578125" bestFit="1" customWidth="1"/>
    <col min="3" max="5" width="13.7109375" bestFit="1" customWidth="1"/>
    <col min="6" max="6" width="13.85546875" bestFit="1" customWidth="1"/>
    <col min="7" max="7" width="14.85546875" bestFit="1" customWidth="1"/>
    <col min="8" max="8" width="13.85546875" bestFit="1" customWidth="1"/>
    <col min="9" max="9" width="14.85546875" bestFit="1" customWidth="1"/>
    <col min="10" max="12" width="13.85546875" bestFit="1" customWidth="1"/>
    <col min="13" max="13" width="14" bestFit="1" customWidth="1"/>
    <col min="14" max="14" width="13.7109375" bestFit="1" customWidth="1"/>
    <col min="15" max="15" width="18.42578125" bestFit="1" customWidth="1"/>
  </cols>
  <sheetData>
    <row r="49" spans="1:15" ht="28.5" x14ac:dyDescent="0.45">
      <c r="B49" s="48">
        <v>2026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</row>
    <row r="50" spans="1:15" ht="21" x14ac:dyDescent="0.35">
      <c r="B50" s="49" t="s">
        <v>24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ht="15.75" thickBot="1" x14ac:dyDescent="0.3">
      <c r="B51" s="7" t="s">
        <v>12</v>
      </c>
      <c r="C51" s="7" t="s">
        <v>0</v>
      </c>
      <c r="D51" s="7" t="s">
        <v>1</v>
      </c>
      <c r="E51" s="7" t="s">
        <v>2</v>
      </c>
      <c r="F51" s="7" t="s">
        <v>3</v>
      </c>
      <c r="G51" s="7" t="s">
        <v>4</v>
      </c>
      <c r="H51" s="7" t="s">
        <v>5</v>
      </c>
      <c r="I51" s="7" t="s">
        <v>6</v>
      </c>
      <c r="J51" s="7" t="s">
        <v>7</v>
      </c>
      <c r="K51" s="7" t="s">
        <v>8</v>
      </c>
      <c r="L51" s="7" t="s">
        <v>9</v>
      </c>
      <c r="M51" s="7" t="s">
        <v>10</v>
      </c>
      <c r="N51" s="9" t="s">
        <v>11</v>
      </c>
      <c r="O51" s="7" t="s">
        <v>20</v>
      </c>
    </row>
    <row r="52" spans="1:15" x14ac:dyDescent="0.25">
      <c r="A52" s="1"/>
      <c r="B52" s="6" t="s">
        <v>17</v>
      </c>
      <c r="C52" s="12"/>
      <c r="D52" s="12"/>
      <c r="E52" s="12"/>
      <c r="F52" s="12"/>
      <c r="G52" s="12"/>
      <c r="H52" s="47"/>
      <c r="I52" s="46"/>
      <c r="J52" s="46" t="s">
        <v>19</v>
      </c>
      <c r="K52" s="12"/>
      <c r="L52" s="12"/>
      <c r="M52" s="12"/>
      <c r="N52" s="12"/>
      <c r="O52" s="12">
        <f>SUM(Tabela511[[#This Row],[JAN]:[DEZ]])</f>
        <v>0</v>
      </c>
    </row>
    <row r="53" spans="1:15" x14ac:dyDescent="0.25">
      <c r="A53" s="1"/>
      <c r="B53" s="1" t="s">
        <v>15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>
        <f>SUM(Tabela511[[#This Row],[JAN]:[DEZ]])</f>
        <v>0</v>
      </c>
    </row>
    <row r="54" spans="1:15" x14ac:dyDescent="0.25">
      <c r="A54" s="1"/>
      <c r="B54" s="6" t="s">
        <v>14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>
        <f>SUM(Tabela511[[#This Row],[JAN]:[DEZ]])</f>
        <v>0</v>
      </c>
    </row>
    <row r="55" spans="1:15" x14ac:dyDescent="0.25">
      <c r="A55" s="1"/>
      <c r="B55" s="1" t="s">
        <v>16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>
        <f>SUM(Tabela511[[#This Row],[JAN]:[DEZ]])</f>
        <v>0</v>
      </c>
    </row>
    <row r="56" spans="1:15" x14ac:dyDescent="0.25">
      <c r="A56" s="1"/>
      <c r="B56" s="6" t="s">
        <v>18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>
        <f>SUM(Tabela511[[#This Row],[JAN]:[DEZ]])</f>
        <v>0</v>
      </c>
    </row>
    <row r="57" spans="1:15" ht="15.75" thickBot="1" x14ac:dyDescent="0.3">
      <c r="B57" s="11" t="s">
        <v>26</v>
      </c>
      <c r="C57" s="12">
        <f t="shared" ref="C57:G57" si="0">SUM(C52:C56)</f>
        <v>0</v>
      </c>
      <c r="D57" s="12">
        <f t="shared" si="0"/>
        <v>0</v>
      </c>
      <c r="E57" s="12">
        <f t="shared" si="0"/>
        <v>0</v>
      </c>
      <c r="F57" s="12">
        <f t="shared" si="0"/>
        <v>0</v>
      </c>
      <c r="G57" s="12">
        <f t="shared" si="0"/>
        <v>0</v>
      </c>
      <c r="H57" s="12">
        <f>SUM(H52:H56)</f>
        <v>0</v>
      </c>
      <c r="I57" s="12">
        <f>SUM(I52:I56)</f>
        <v>0</v>
      </c>
      <c r="J57" s="12">
        <f t="shared" ref="J57:N57" si="1">SUM(J52:J56)</f>
        <v>0</v>
      </c>
      <c r="K57" s="12">
        <f t="shared" si="1"/>
        <v>0</v>
      </c>
      <c r="L57" s="12">
        <f t="shared" si="1"/>
        <v>0</v>
      </c>
      <c r="M57" s="12">
        <f t="shared" si="1"/>
        <v>0</v>
      </c>
      <c r="N57" s="12">
        <f t="shared" si="1"/>
        <v>0</v>
      </c>
      <c r="O57" s="12">
        <f>SUM(Tabela511[[#This Row],[JAN]:[DEZ]])</f>
        <v>0</v>
      </c>
    </row>
    <row r="59" spans="1:15" ht="28.5" x14ac:dyDescent="0.45">
      <c r="B59" s="48">
        <v>2026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spans="1:15" ht="21" x14ac:dyDescent="0.35">
      <c r="B60" s="49" t="s">
        <v>25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1:15" ht="15.75" thickBot="1" x14ac:dyDescent="0.3">
      <c r="B61" s="7" t="s">
        <v>12</v>
      </c>
      <c r="C61" s="7" t="s">
        <v>0</v>
      </c>
      <c r="D61" s="7" t="s">
        <v>1</v>
      </c>
      <c r="E61" s="7" t="s">
        <v>2</v>
      </c>
      <c r="F61" s="7" t="s">
        <v>3</v>
      </c>
      <c r="G61" s="7" t="s">
        <v>4</v>
      </c>
      <c r="H61" s="7" t="s">
        <v>5</v>
      </c>
      <c r="I61" s="7" t="s">
        <v>6</v>
      </c>
      <c r="J61" s="7" t="s">
        <v>7</v>
      </c>
      <c r="K61" s="7" t="s">
        <v>8</v>
      </c>
      <c r="L61" s="7" t="s">
        <v>9</v>
      </c>
      <c r="M61" s="7" t="s">
        <v>10</v>
      </c>
      <c r="N61" s="9" t="s">
        <v>11</v>
      </c>
      <c r="O61" s="7" t="s">
        <v>20</v>
      </c>
    </row>
    <row r="62" spans="1:15" x14ac:dyDescent="0.25">
      <c r="A62" s="1"/>
      <c r="B62" s="6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>
        <f>SUM(Tabela5812[[#This Row],[JAN]:[DEZ]])</f>
        <v>0</v>
      </c>
    </row>
    <row r="63" spans="1:15" x14ac:dyDescent="0.25">
      <c r="A63" s="1"/>
      <c r="B63" s="1" t="s">
        <v>15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>
        <f>SUM(Tabela5812[[#This Row],[JAN]:[DEZ]])</f>
        <v>0</v>
      </c>
    </row>
    <row r="64" spans="1:15" x14ac:dyDescent="0.25">
      <c r="A64" s="1"/>
      <c r="B64" s="6" t="s">
        <v>14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>
        <f>SUM(Tabela5812[[#This Row],[JAN]:[DEZ]])</f>
        <v>0</v>
      </c>
    </row>
    <row r="65" spans="1:15" x14ac:dyDescent="0.25">
      <c r="A65" s="1"/>
      <c r="B65" s="1" t="s">
        <v>16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>
        <f>SUM(Tabela5812[[#This Row],[JAN]:[DEZ]])</f>
        <v>0</v>
      </c>
    </row>
    <row r="66" spans="1:15" x14ac:dyDescent="0.25">
      <c r="A66" s="1"/>
      <c r="B66" s="6" t="s">
        <v>18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>
        <f>SUM(Tabela5812[[#This Row],[JAN]:[DEZ]])</f>
        <v>0</v>
      </c>
    </row>
    <row r="67" spans="1:15" ht="15.75" thickBot="1" x14ac:dyDescent="0.3">
      <c r="B67" s="11" t="s">
        <v>26</v>
      </c>
      <c r="C67" s="12">
        <f t="shared" ref="C67:H67" si="2">SUM(C62:C66)</f>
        <v>0</v>
      </c>
      <c r="D67" s="12">
        <f t="shared" si="2"/>
        <v>0</v>
      </c>
      <c r="E67" s="12">
        <f t="shared" si="2"/>
        <v>0</v>
      </c>
      <c r="F67" s="12">
        <f t="shared" si="2"/>
        <v>0</v>
      </c>
      <c r="G67" s="12">
        <f t="shared" si="2"/>
        <v>0</v>
      </c>
      <c r="H67" s="12">
        <f t="shared" si="2"/>
        <v>0</v>
      </c>
      <c r="I67" s="12">
        <f>SUM(I62:I66)</f>
        <v>0</v>
      </c>
      <c r="J67" s="12">
        <f t="shared" ref="J67:N67" si="3">SUM(J62:J66)</f>
        <v>0</v>
      </c>
      <c r="K67" s="12">
        <f t="shared" si="3"/>
        <v>0</v>
      </c>
      <c r="L67" s="12">
        <f t="shared" si="3"/>
        <v>0</v>
      </c>
      <c r="M67" s="12">
        <f t="shared" si="3"/>
        <v>0</v>
      </c>
      <c r="N67" s="12">
        <f t="shared" si="3"/>
        <v>0</v>
      </c>
      <c r="O67" s="12">
        <f>SUM(Tabela5812[[#This Row],[JAN]:[DEZ]])</f>
        <v>0</v>
      </c>
    </row>
    <row r="69" spans="1:15" x14ac:dyDescent="0.25">
      <c r="F69" s="13"/>
      <c r="G69" s="13"/>
      <c r="H69" s="13"/>
      <c r="I69" s="13"/>
      <c r="J69" s="13"/>
      <c r="K69" s="13"/>
      <c r="L69" s="13"/>
      <c r="M69" s="13"/>
      <c r="N69" s="13"/>
      <c r="O69" s="13"/>
    </row>
  </sheetData>
  <mergeCells count="4">
    <mergeCell ref="B49:O49"/>
    <mergeCell ref="B50:O50"/>
    <mergeCell ref="B59:O59"/>
    <mergeCell ref="B60:O60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9CD6-0FB3-4FD6-87F9-2BBEABF2A460}">
  <sheetPr>
    <tabColor rgb="FF92D050"/>
  </sheetPr>
  <dimension ref="A39:O59"/>
  <sheetViews>
    <sheetView topLeftCell="A36" zoomScale="90" zoomScaleNormal="90" workbookViewId="0">
      <selection activeCell="C42" sqref="C42:I46"/>
    </sheetView>
  </sheetViews>
  <sheetFormatPr defaultRowHeight="15" x14ac:dyDescent="0.25"/>
  <cols>
    <col min="1" max="1" width="12" bestFit="1" customWidth="1"/>
    <col min="2" max="2" width="16.28515625" bestFit="1" customWidth="1"/>
    <col min="3" max="5" width="13.7109375" bestFit="1" customWidth="1"/>
    <col min="6" max="7" width="13.85546875" bestFit="1" customWidth="1"/>
    <col min="8" max="8" width="14.85546875" bestFit="1" customWidth="1"/>
    <col min="9" max="10" width="13.85546875" bestFit="1" customWidth="1"/>
    <col min="11" max="11" width="13.7109375" bestFit="1" customWidth="1"/>
    <col min="12" max="13" width="13.85546875" bestFit="1" customWidth="1"/>
    <col min="14" max="14" width="13.7109375" bestFit="1" customWidth="1"/>
    <col min="15" max="15" width="18.42578125" bestFit="1" customWidth="1"/>
  </cols>
  <sheetData>
    <row r="39" spans="1:15" ht="28.5" x14ac:dyDescent="0.45">
      <c r="B39" s="48">
        <v>2026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</row>
    <row r="40" spans="1:15" ht="21" x14ac:dyDescent="0.35">
      <c r="B40" s="49" t="s">
        <v>24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ht="15.75" thickBot="1" x14ac:dyDescent="0.3">
      <c r="B41" s="7" t="s">
        <v>12</v>
      </c>
      <c r="C41" s="7" t="s">
        <v>0</v>
      </c>
      <c r="D41" s="7" t="s">
        <v>1</v>
      </c>
      <c r="E41" s="7" t="s">
        <v>2</v>
      </c>
      <c r="F41" s="7" t="s">
        <v>3</v>
      </c>
      <c r="G41" s="7" t="s">
        <v>4</v>
      </c>
      <c r="H41" s="7" t="s">
        <v>5</v>
      </c>
      <c r="I41" s="7" t="s">
        <v>6</v>
      </c>
      <c r="J41" s="7" t="s">
        <v>7</v>
      </c>
      <c r="K41" s="7" t="s">
        <v>8</v>
      </c>
      <c r="L41" s="7" t="s">
        <v>9</v>
      </c>
      <c r="M41" s="7" t="s">
        <v>10</v>
      </c>
      <c r="N41" s="9" t="s">
        <v>11</v>
      </c>
      <c r="O41" s="7" t="s">
        <v>20</v>
      </c>
    </row>
    <row r="42" spans="1:15" x14ac:dyDescent="0.25">
      <c r="A42" s="1"/>
      <c r="B42" s="6" t="s">
        <v>17</v>
      </c>
      <c r="C42" s="12"/>
      <c r="D42" s="12"/>
      <c r="E42" s="12"/>
      <c r="F42" s="12"/>
      <c r="G42" s="12"/>
      <c r="H42" s="12"/>
      <c r="I42" s="12"/>
      <c r="J42" s="12" t="s">
        <v>19</v>
      </c>
      <c r="K42" s="12"/>
      <c r="L42" s="12"/>
      <c r="M42" s="12"/>
      <c r="N42" s="12"/>
      <c r="O42" s="12"/>
    </row>
    <row r="43" spans="1:15" x14ac:dyDescent="0.25">
      <c r="A43" s="1"/>
      <c r="B43" s="1" t="s">
        <v>15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5">
      <c r="A44" s="1"/>
      <c r="B44" s="6" t="s">
        <v>14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A45" s="1"/>
      <c r="B45" s="1" t="s">
        <v>16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1"/>
      <c r="B46" s="6" t="s">
        <v>18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ht="15.75" thickBot="1" x14ac:dyDescent="0.3">
      <c r="B47" s="11" t="s">
        <v>27</v>
      </c>
      <c r="C47" s="12">
        <f t="shared" ref="C47:H47" si="0">SUM(C42:C46)</f>
        <v>0</v>
      </c>
      <c r="D47" s="12">
        <f t="shared" si="0"/>
        <v>0</v>
      </c>
      <c r="E47" s="12">
        <f t="shared" si="0"/>
        <v>0</v>
      </c>
      <c r="F47" s="12">
        <f t="shared" si="0"/>
        <v>0</v>
      </c>
      <c r="G47" s="12">
        <f t="shared" si="0"/>
        <v>0</v>
      </c>
      <c r="H47" s="12">
        <f t="shared" si="0"/>
        <v>0</v>
      </c>
      <c r="I47" s="12">
        <f>SUM(I42:I46)</f>
        <v>0</v>
      </c>
      <c r="J47" s="12">
        <f t="shared" ref="J47:O47" si="1">SUM(J42:J46)</f>
        <v>0</v>
      </c>
      <c r="K47" s="12">
        <f t="shared" si="1"/>
        <v>0</v>
      </c>
      <c r="L47" s="12">
        <f t="shared" si="1"/>
        <v>0</v>
      </c>
      <c r="M47" s="12">
        <f t="shared" si="1"/>
        <v>0</v>
      </c>
      <c r="N47" s="12">
        <f t="shared" si="1"/>
        <v>0</v>
      </c>
      <c r="O47" s="12">
        <f t="shared" si="1"/>
        <v>0</v>
      </c>
    </row>
    <row r="49" spans="1:15" ht="28.5" x14ac:dyDescent="0.45">
      <c r="B49" s="48">
        <v>2026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</row>
    <row r="50" spans="1:15" ht="21" x14ac:dyDescent="0.35">
      <c r="B50" s="49" t="s">
        <v>25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ht="15.75" thickBot="1" x14ac:dyDescent="0.3">
      <c r="B51" s="7" t="s">
        <v>12</v>
      </c>
      <c r="C51" s="7" t="s">
        <v>0</v>
      </c>
      <c r="D51" s="7" t="s">
        <v>1</v>
      </c>
      <c r="E51" s="7" t="s">
        <v>2</v>
      </c>
      <c r="F51" s="7" t="s">
        <v>3</v>
      </c>
      <c r="G51" s="7" t="s">
        <v>4</v>
      </c>
      <c r="H51" s="7" t="s">
        <v>5</v>
      </c>
      <c r="I51" s="7" t="s">
        <v>6</v>
      </c>
      <c r="J51" s="7" t="s">
        <v>7</v>
      </c>
      <c r="K51" s="7" t="s">
        <v>8</v>
      </c>
      <c r="L51" s="7" t="s">
        <v>9</v>
      </c>
      <c r="M51" s="7" t="s">
        <v>10</v>
      </c>
      <c r="N51" s="9" t="s">
        <v>11</v>
      </c>
      <c r="O51" s="7" t="s">
        <v>20</v>
      </c>
    </row>
    <row r="52" spans="1:15" x14ac:dyDescent="0.25">
      <c r="A52" s="1"/>
      <c r="B52" s="6" t="s">
        <v>17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"/>
      <c r="B53" s="1" t="s">
        <v>15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"/>
      <c r="B54" s="6" t="s">
        <v>14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"/>
      <c r="B55" s="1" t="s">
        <v>16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1"/>
      <c r="B56" s="6" t="s">
        <v>18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ht="15.75" thickBot="1" x14ac:dyDescent="0.3">
      <c r="B57" s="11" t="s">
        <v>27</v>
      </c>
      <c r="C57" s="12">
        <f t="shared" ref="C57:H57" si="2">SUM(C52:C56)</f>
        <v>0</v>
      </c>
      <c r="D57" s="12">
        <f t="shared" si="2"/>
        <v>0</v>
      </c>
      <c r="E57" s="12">
        <f t="shared" si="2"/>
        <v>0</v>
      </c>
      <c r="F57" s="12">
        <f t="shared" si="2"/>
        <v>0</v>
      </c>
      <c r="G57" s="12">
        <f t="shared" si="2"/>
        <v>0</v>
      </c>
      <c r="H57" s="12">
        <f t="shared" si="2"/>
        <v>0</v>
      </c>
      <c r="I57" s="12">
        <f>SUM(I52:I56)</f>
        <v>0</v>
      </c>
      <c r="J57" s="12">
        <f t="shared" ref="J57:O57" si="3">SUM(J52:J56)</f>
        <v>0</v>
      </c>
      <c r="K57" s="12">
        <f t="shared" si="3"/>
        <v>0</v>
      </c>
      <c r="L57" s="12">
        <f t="shared" si="3"/>
        <v>0</v>
      </c>
      <c r="M57" s="12">
        <f t="shared" si="3"/>
        <v>0</v>
      </c>
      <c r="N57" s="12">
        <f t="shared" si="3"/>
        <v>0</v>
      </c>
      <c r="O57" s="12">
        <f t="shared" si="3"/>
        <v>0</v>
      </c>
    </row>
    <row r="59" spans="1:15" x14ac:dyDescent="0.25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</sheetData>
  <mergeCells count="4">
    <mergeCell ref="B39:O39"/>
    <mergeCell ref="B40:O40"/>
    <mergeCell ref="B49:O49"/>
    <mergeCell ref="B50:O50"/>
  </mergeCells>
  <pageMargins left="0.511811024" right="0.511811024" top="0.78740157499999996" bottom="0.78740157499999996" header="0.31496062000000002" footer="0.31496062000000002"/>
  <ignoredErrors>
    <ignoredError sqref="C47 C57" calculatedColumn="1"/>
  </ignoredErrors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36A8-C801-422C-855E-DA0B13DC4AE1}">
  <dimension ref="A1:E19"/>
  <sheetViews>
    <sheetView workbookViewId="0">
      <selection activeCell="G18" sqref="G18"/>
    </sheetView>
  </sheetViews>
  <sheetFormatPr defaultRowHeight="15" x14ac:dyDescent="0.25"/>
  <cols>
    <col min="2" max="2" width="9.42578125" bestFit="1" customWidth="1"/>
    <col min="3" max="5" width="12.85546875" bestFit="1" customWidth="1"/>
  </cols>
  <sheetData>
    <row r="1" spans="1:5" ht="15.75" thickBot="1" x14ac:dyDescent="0.3">
      <c r="A1" s="54"/>
      <c r="B1" s="55"/>
      <c r="C1" s="45" t="s">
        <v>28</v>
      </c>
      <c r="D1" s="45" t="s">
        <v>29</v>
      </c>
      <c r="E1" s="45" t="s">
        <v>30</v>
      </c>
    </row>
    <row r="2" spans="1:5" x14ac:dyDescent="0.25">
      <c r="A2" s="50" t="s">
        <v>14</v>
      </c>
      <c r="B2" s="42" t="s">
        <v>31</v>
      </c>
      <c r="C2" s="33"/>
      <c r="D2" s="18"/>
      <c r="E2" s="19"/>
    </row>
    <row r="3" spans="1:5" x14ac:dyDescent="0.25">
      <c r="A3" s="51"/>
      <c r="B3" s="43" t="s">
        <v>32</v>
      </c>
      <c r="C3" s="34"/>
      <c r="D3" s="17"/>
      <c r="E3" s="20"/>
    </row>
    <row r="4" spans="1:5" ht="15.75" thickBot="1" x14ac:dyDescent="0.3">
      <c r="A4" s="52"/>
      <c r="B4" s="44" t="s">
        <v>30</v>
      </c>
      <c r="C4" s="35"/>
      <c r="D4" s="21"/>
      <c r="E4" s="22"/>
    </row>
    <row r="5" spans="1:5" x14ac:dyDescent="0.25">
      <c r="A5" s="50" t="s">
        <v>15</v>
      </c>
      <c r="B5" s="42" t="s">
        <v>31</v>
      </c>
      <c r="C5" s="36"/>
      <c r="D5" s="23"/>
      <c r="E5" s="24"/>
    </row>
    <row r="6" spans="1:5" x14ac:dyDescent="0.25">
      <c r="A6" s="51"/>
      <c r="B6" s="43" t="s">
        <v>32</v>
      </c>
      <c r="C6" s="37"/>
      <c r="D6" s="15"/>
      <c r="E6" s="25"/>
    </row>
    <row r="7" spans="1:5" ht="15.75" thickBot="1" x14ac:dyDescent="0.3">
      <c r="A7" s="52"/>
      <c r="B7" s="44" t="s">
        <v>30</v>
      </c>
      <c r="C7" s="38"/>
      <c r="D7" s="26"/>
      <c r="E7" s="27"/>
    </row>
    <row r="8" spans="1:5" x14ac:dyDescent="0.25">
      <c r="A8" s="50" t="s">
        <v>16</v>
      </c>
      <c r="B8" s="42" t="s">
        <v>31</v>
      </c>
      <c r="C8" s="39"/>
      <c r="D8" s="28"/>
      <c r="E8" s="29"/>
    </row>
    <row r="9" spans="1:5" x14ac:dyDescent="0.25">
      <c r="A9" s="51"/>
      <c r="B9" s="43" t="s">
        <v>32</v>
      </c>
      <c r="C9" s="40"/>
      <c r="D9" s="16"/>
      <c r="E9" s="30"/>
    </row>
    <row r="10" spans="1:5" ht="15.75" thickBot="1" x14ac:dyDescent="0.3">
      <c r="A10" s="52"/>
      <c r="B10" s="44" t="s">
        <v>30</v>
      </c>
      <c r="C10" s="41"/>
      <c r="D10" s="31"/>
      <c r="E10" s="32"/>
    </row>
    <row r="11" spans="1:5" x14ac:dyDescent="0.25">
      <c r="A11" s="50" t="s">
        <v>17</v>
      </c>
      <c r="B11" s="42" t="s">
        <v>31</v>
      </c>
      <c r="C11" s="39"/>
      <c r="D11" s="28"/>
      <c r="E11" s="29"/>
    </row>
    <row r="12" spans="1:5" x14ac:dyDescent="0.25">
      <c r="A12" s="51"/>
      <c r="B12" s="43" t="s">
        <v>32</v>
      </c>
      <c r="C12" s="40"/>
      <c r="D12" s="16"/>
      <c r="E12" s="30"/>
    </row>
    <row r="13" spans="1:5" ht="15.75" thickBot="1" x14ac:dyDescent="0.3">
      <c r="A13" s="52"/>
      <c r="B13" s="44" t="s">
        <v>30</v>
      </c>
      <c r="C13" s="41"/>
      <c r="D13" s="31"/>
      <c r="E13" s="32"/>
    </row>
    <row r="14" spans="1:5" x14ac:dyDescent="0.25">
      <c r="A14" s="50" t="s">
        <v>18</v>
      </c>
      <c r="B14" s="42" t="s">
        <v>31</v>
      </c>
      <c r="C14" s="39"/>
      <c r="D14" s="28"/>
      <c r="E14" s="29"/>
    </row>
    <row r="15" spans="1:5" x14ac:dyDescent="0.25">
      <c r="A15" s="51"/>
      <c r="B15" s="43" t="s">
        <v>32</v>
      </c>
      <c r="C15" s="40"/>
      <c r="D15" s="16"/>
      <c r="E15" s="30"/>
    </row>
    <row r="16" spans="1:5" ht="15.75" thickBot="1" x14ac:dyDescent="0.3">
      <c r="A16" s="52"/>
      <c r="B16" s="44" t="s">
        <v>30</v>
      </c>
      <c r="C16" s="41"/>
      <c r="D16" s="31"/>
      <c r="E16" s="32"/>
    </row>
    <row r="17" spans="1:1" x14ac:dyDescent="0.25">
      <c r="A17" s="53"/>
    </row>
    <row r="18" spans="1:1" x14ac:dyDescent="0.25">
      <c r="A18" s="53"/>
    </row>
    <row r="19" spans="1:1" x14ac:dyDescent="0.25">
      <c r="A19" s="53"/>
    </row>
  </sheetData>
  <mergeCells count="7">
    <mergeCell ref="A14:A16"/>
    <mergeCell ref="A17:A19"/>
    <mergeCell ref="A1:B1"/>
    <mergeCell ref="A2:A4"/>
    <mergeCell ref="A5:A7"/>
    <mergeCell ref="A8:A10"/>
    <mergeCell ref="A11:A13"/>
  </mergeCell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B2776-EF15-4752-A0C0-EFFC82A38A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FAT MENSAL CLIENTE 2025</vt:lpstr>
      <vt:lpstr>FAT MENSAL LEB 2025</vt:lpstr>
      <vt:lpstr>FAT MENSAL-ANUAL</vt:lpstr>
      <vt:lpstr>FAT MENSAL CLIENTE 2026</vt:lpstr>
      <vt:lpstr>FAT MENSAL LEB 2026</vt:lpstr>
      <vt:lpstr>rascunho estrutura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Radasa Transportes</dc:creator>
  <cp:lastModifiedBy>Hiago Rosolen</cp:lastModifiedBy>
  <cp:lastPrinted>2026-05-12T01:04:37Z</cp:lastPrinted>
  <dcterms:created xsi:type="dcterms:W3CDTF">2025-04-24T12:18:05Z</dcterms:created>
  <dcterms:modified xsi:type="dcterms:W3CDTF">2026-08-14T17:39:02Z</dcterms:modified>
</cp:coreProperties>
</file>